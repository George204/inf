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1"/>
  </bookViews>
  <sheets>
    <sheet name="Menu" sheetId="1" r:id="rId1"/>
    <sheet name="Tabela Prąd" sheetId="2" r:id="rId2"/>
    <sheet name="Tabela Gaz" sheetId="3" r:id="rId3"/>
    <sheet name="Wykresy Prąd" sheetId="4" r:id="rId4"/>
    <sheet name="Wykresy Gaz" sheetId="5" r:id="rId5"/>
  </sheets>
  <calcPr calcId="152511"/>
</workbook>
</file>

<file path=xl/calcChain.xml><?xml version="1.0" encoding="utf-8"?>
<calcChain xmlns="http://schemas.openxmlformats.org/spreadsheetml/2006/main">
  <c r="C4" i="3" l="1"/>
  <c r="C5" i="3" s="1"/>
  <c r="D5" i="3" s="1"/>
  <c r="D56" i="3"/>
  <c r="G55" i="3"/>
  <c r="E55" i="3"/>
  <c r="D55" i="3"/>
  <c r="F55" i="3" s="1"/>
  <c r="D54" i="3"/>
  <c r="G53" i="3"/>
  <c r="E53" i="3"/>
  <c r="D53" i="3"/>
  <c r="F53" i="3" s="1"/>
  <c r="D52" i="3"/>
  <c r="G51" i="3"/>
  <c r="E51" i="3"/>
  <c r="D51" i="3"/>
  <c r="F51" i="3" s="1"/>
  <c r="D50" i="3"/>
  <c r="G49" i="3"/>
  <c r="E49" i="3"/>
  <c r="D49" i="3"/>
  <c r="F49" i="3" s="1"/>
  <c r="D48" i="3"/>
  <c r="G47" i="3"/>
  <c r="E47" i="3"/>
  <c r="D47" i="3"/>
  <c r="F47" i="3" s="1"/>
  <c r="D46" i="3"/>
  <c r="G45" i="3"/>
  <c r="E45" i="3"/>
  <c r="D45" i="3"/>
  <c r="F45" i="3" s="1"/>
  <c r="D44" i="3"/>
  <c r="G43" i="3"/>
  <c r="E43" i="3"/>
  <c r="D43" i="3"/>
  <c r="F43" i="3" s="1"/>
  <c r="D42" i="3"/>
  <c r="G41" i="3"/>
  <c r="E41" i="3"/>
  <c r="D41" i="3"/>
  <c r="F41" i="3" s="1"/>
  <c r="D40" i="3"/>
  <c r="G39" i="3"/>
  <c r="E39" i="3"/>
  <c r="D39" i="3"/>
  <c r="F39" i="3" s="1"/>
  <c r="D38" i="3"/>
  <c r="G37" i="3"/>
  <c r="E37" i="3"/>
  <c r="D37" i="3"/>
  <c r="F37" i="3" s="1"/>
  <c r="D36" i="3"/>
  <c r="G35" i="3"/>
  <c r="E35" i="3"/>
  <c r="D35" i="3"/>
  <c r="F35" i="3" s="1"/>
  <c r="D34" i="3"/>
  <c r="G33" i="3"/>
  <c r="E33" i="3"/>
  <c r="D33" i="3"/>
  <c r="F33" i="3" s="1"/>
  <c r="D32" i="3"/>
  <c r="G31" i="3"/>
  <c r="E31" i="3"/>
  <c r="D31" i="3"/>
  <c r="F31" i="3" s="1"/>
  <c r="D30" i="3"/>
  <c r="G29" i="3"/>
  <c r="E29" i="3"/>
  <c r="D29" i="3"/>
  <c r="F29" i="3" s="1"/>
  <c r="D28" i="3"/>
  <c r="G27" i="3"/>
  <c r="E27" i="3"/>
  <c r="D27" i="3"/>
  <c r="F27" i="3" s="1"/>
  <c r="D26" i="3"/>
  <c r="G25" i="3"/>
  <c r="E25" i="3"/>
  <c r="D25" i="3"/>
  <c r="F25" i="3" s="1"/>
  <c r="D24" i="3"/>
  <c r="G23" i="3"/>
  <c r="E23" i="3"/>
  <c r="D23" i="3"/>
  <c r="F23" i="3" s="1"/>
  <c r="D22" i="3"/>
  <c r="D21" i="3"/>
  <c r="F21" i="3" s="1"/>
  <c r="F4" i="3"/>
  <c r="E4" i="3"/>
  <c r="G4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E24" i="2"/>
  <c r="G24" i="2"/>
  <c r="E4" i="2"/>
  <c r="E21" i="2"/>
  <c r="E22" i="2"/>
  <c r="E23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G4" i="2"/>
  <c r="G21" i="2"/>
  <c r="G22" i="2"/>
  <c r="G23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F4" i="2"/>
  <c r="C4" i="2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4" i="2"/>
  <c r="G21" i="3" l="1"/>
  <c r="E21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F5" i="3"/>
  <c r="E5" i="3"/>
  <c r="G5" i="3" s="1"/>
  <c r="G22" i="3"/>
  <c r="E22" i="3"/>
  <c r="G24" i="3"/>
  <c r="E24" i="3"/>
  <c r="G26" i="3"/>
  <c r="E26" i="3"/>
  <c r="G28" i="3"/>
  <c r="E28" i="3"/>
  <c r="G30" i="3"/>
  <c r="E30" i="3"/>
  <c r="G32" i="3"/>
  <c r="E32" i="3"/>
  <c r="G34" i="3"/>
  <c r="E34" i="3"/>
  <c r="G36" i="3"/>
  <c r="E36" i="3"/>
  <c r="G38" i="3"/>
  <c r="E38" i="3"/>
  <c r="G40" i="3"/>
  <c r="E40" i="3"/>
  <c r="G42" i="3"/>
  <c r="E42" i="3"/>
  <c r="G44" i="3"/>
  <c r="E44" i="3"/>
  <c r="G46" i="3"/>
  <c r="E46" i="3"/>
  <c r="G48" i="3"/>
  <c r="E48" i="3"/>
  <c r="G50" i="3"/>
  <c r="E50" i="3"/>
  <c r="G52" i="3"/>
  <c r="E52" i="3"/>
  <c r="G54" i="3"/>
  <c r="E54" i="3"/>
  <c r="G56" i="3"/>
  <c r="E56" i="3"/>
  <c r="F22" i="3"/>
  <c r="F24" i="3"/>
  <c r="F26" i="3"/>
  <c r="F28" i="3"/>
  <c r="F30" i="3"/>
  <c r="F32" i="3"/>
  <c r="F34" i="3"/>
  <c r="F36" i="3"/>
  <c r="F38" i="3"/>
  <c r="F40" i="3"/>
  <c r="F42" i="3"/>
  <c r="F44" i="3"/>
  <c r="F46" i="3"/>
  <c r="F48" i="3"/>
  <c r="F50" i="3"/>
  <c r="F52" i="3"/>
  <c r="F54" i="3"/>
  <c r="F56" i="3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D6" i="3" l="1"/>
  <c r="D6" i="2"/>
  <c r="D5" i="2"/>
  <c r="E5" i="2" s="1"/>
  <c r="D21" i="2"/>
  <c r="D7" i="2"/>
  <c r="D7" i="3" l="1"/>
  <c r="F6" i="3"/>
  <c r="E6" i="3"/>
  <c r="G6" i="3" s="1"/>
  <c r="E6" i="2"/>
  <c r="E7" i="2" s="1"/>
  <c r="G7" i="2" s="1"/>
  <c r="G5" i="2"/>
  <c r="F7" i="2"/>
  <c r="F6" i="2"/>
  <c r="F5" i="2"/>
  <c r="F21" i="2"/>
  <c r="D22" i="2"/>
  <c r="D8" i="2"/>
  <c r="D8" i="3" l="1"/>
  <c r="F7" i="3"/>
  <c r="E7" i="3"/>
  <c r="G7" i="3" s="1"/>
  <c r="G6" i="2"/>
  <c r="E8" i="2"/>
  <c r="F8" i="2"/>
  <c r="G8" i="2"/>
  <c r="D23" i="2"/>
  <c r="F22" i="2"/>
  <c r="D9" i="2"/>
  <c r="D9" i="3" l="1"/>
  <c r="F8" i="3"/>
  <c r="E8" i="3"/>
  <c r="G8" i="3" s="1"/>
  <c r="E9" i="2"/>
  <c r="G9" i="2" s="1"/>
  <c r="F9" i="2"/>
  <c r="D24" i="2"/>
  <c r="F23" i="2"/>
  <c r="D10" i="2"/>
  <c r="D10" i="3" l="1"/>
  <c r="F9" i="3"/>
  <c r="E9" i="3"/>
  <c r="G9" i="3" s="1"/>
  <c r="E10" i="2"/>
  <c r="F10" i="2"/>
  <c r="G10" i="2"/>
  <c r="D25" i="2"/>
  <c r="F24" i="2"/>
  <c r="D11" i="2"/>
  <c r="D11" i="3" l="1"/>
  <c r="F10" i="3"/>
  <c r="E10" i="3"/>
  <c r="G10" i="3" s="1"/>
  <c r="E11" i="2"/>
  <c r="G11" i="2" s="1"/>
  <c r="F11" i="2"/>
  <c r="D26" i="2"/>
  <c r="F25" i="2"/>
  <c r="D12" i="2"/>
  <c r="D12" i="3" l="1"/>
  <c r="E12" i="2"/>
  <c r="F11" i="3"/>
  <c r="E11" i="3"/>
  <c r="G11" i="3" s="1"/>
  <c r="F12" i="2"/>
  <c r="G12" i="2"/>
  <c r="D27" i="2"/>
  <c r="F26" i="2"/>
  <c r="D13" i="2"/>
  <c r="E13" i="2" l="1"/>
  <c r="G13" i="2" s="1"/>
  <c r="D13" i="3"/>
  <c r="F12" i="3"/>
  <c r="E12" i="3"/>
  <c r="G12" i="3" s="1"/>
  <c r="F13" i="2"/>
  <c r="D28" i="2"/>
  <c r="F27" i="2"/>
  <c r="D14" i="2"/>
  <c r="E14" i="2" l="1"/>
  <c r="G14" i="2" s="1"/>
  <c r="D14" i="3"/>
  <c r="F13" i="3"/>
  <c r="E13" i="3"/>
  <c r="G13" i="3" s="1"/>
  <c r="F14" i="2"/>
  <c r="D29" i="2"/>
  <c r="F28" i="2"/>
  <c r="D15" i="2"/>
  <c r="E15" i="2" l="1"/>
  <c r="G15" i="2" s="1"/>
  <c r="D15" i="3"/>
  <c r="F14" i="3"/>
  <c r="E14" i="3"/>
  <c r="G14" i="3" s="1"/>
  <c r="F15" i="2"/>
  <c r="D30" i="2"/>
  <c r="F29" i="2"/>
  <c r="D16" i="2"/>
  <c r="E16" i="2" l="1"/>
  <c r="G16" i="2" s="1"/>
  <c r="D16" i="3"/>
  <c r="F15" i="3"/>
  <c r="E15" i="3"/>
  <c r="G15" i="3" s="1"/>
  <c r="F16" i="2"/>
  <c r="D31" i="2"/>
  <c r="F30" i="2"/>
  <c r="D17" i="2"/>
  <c r="E17" i="2" l="1"/>
  <c r="G17" i="2" s="1"/>
  <c r="F16" i="3"/>
  <c r="E16" i="3"/>
  <c r="G16" i="3" s="1"/>
  <c r="D17" i="3"/>
  <c r="F17" i="2"/>
  <c r="D32" i="2"/>
  <c r="F31" i="2"/>
  <c r="D18" i="3" l="1"/>
  <c r="E17" i="3"/>
  <c r="G17" i="3" s="1"/>
  <c r="F17" i="3"/>
  <c r="D33" i="2"/>
  <c r="F32" i="2"/>
  <c r="D18" i="2"/>
  <c r="E18" i="2" s="1"/>
  <c r="E18" i="3" l="1"/>
  <c r="G18" i="3" s="1"/>
  <c r="F18" i="3"/>
  <c r="D20" i="3"/>
  <c r="D19" i="3"/>
  <c r="G18" i="2"/>
  <c r="F18" i="2"/>
  <c r="D34" i="2"/>
  <c r="F33" i="2"/>
  <c r="D19" i="2"/>
  <c r="E19" i="2" s="1"/>
  <c r="D20" i="2"/>
  <c r="F20" i="3" l="1"/>
  <c r="E19" i="3"/>
  <c r="E20" i="3" s="1"/>
  <c r="G20" i="3" s="1"/>
  <c r="F19" i="3"/>
  <c r="E20" i="2"/>
  <c r="G19" i="2"/>
  <c r="G20" i="2"/>
  <c r="F19" i="2"/>
  <c r="F20" i="2"/>
  <c r="D35" i="2"/>
  <c r="F34" i="2"/>
  <c r="G19" i="3" l="1"/>
  <c r="D36" i="2"/>
  <c r="F35" i="2"/>
  <c r="D37" i="2" l="1"/>
  <c r="F36" i="2"/>
  <c r="F37" i="2" l="1"/>
  <c r="D38" i="2"/>
  <c r="D39" i="2" l="1"/>
  <c r="F38" i="2"/>
  <c r="F39" i="2" l="1"/>
  <c r="D40" i="2"/>
  <c r="D41" i="2" l="1"/>
  <c r="F40" i="2"/>
  <c r="F41" i="2" l="1"/>
  <c r="D42" i="2"/>
  <c r="D43" i="2" l="1"/>
  <c r="F42" i="2"/>
  <c r="F43" i="2" l="1"/>
  <c r="D44" i="2"/>
  <c r="D45" i="2" l="1"/>
  <c r="F44" i="2"/>
  <c r="F45" i="2" l="1"/>
  <c r="D46" i="2"/>
  <c r="D47" i="2" l="1"/>
  <c r="F46" i="2"/>
  <c r="F47" i="2" l="1"/>
  <c r="D48" i="2"/>
  <c r="D49" i="2" l="1"/>
  <c r="F48" i="2"/>
  <c r="F49" i="2" l="1"/>
  <c r="D50" i="2"/>
  <c r="D51" i="2" l="1"/>
  <c r="F50" i="2"/>
  <c r="F51" i="2" l="1"/>
  <c r="D52" i="2"/>
  <c r="D53" i="2" l="1"/>
  <c r="F52" i="2"/>
  <c r="F53" i="2" l="1"/>
  <c r="D54" i="2"/>
  <c r="D56" i="2" l="1"/>
  <c r="D55" i="2"/>
  <c r="F54" i="2"/>
  <c r="F55" i="2" l="1"/>
  <c r="F56" i="2"/>
</calcChain>
</file>

<file path=xl/sharedStrings.xml><?xml version="1.0" encoding="utf-8"?>
<sst xmlns="http://schemas.openxmlformats.org/spreadsheetml/2006/main" count="14" uniqueCount="12">
  <si>
    <t>Pierwszy pomiar</t>
  </si>
  <si>
    <t>Stan licznika [kW/h]</t>
  </si>
  <si>
    <t>Tygodniowe zużycie [kw/h]</t>
  </si>
  <si>
    <t>Łączne zużycie od początku roku [kW/h]</t>
  </si>
  <si>
    <t>Średnie dzienne zużycie w danym tygodniu [kW/h]</t>
  </si>
  <si>
    <t>Średnie dzienne zużycie od początku roku [kW/h]</t>
  </si>
  <si>
    <r>
      <t>Stan licznika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</si>
  <si>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Tygodniowe zużycie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</si>
  <si>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Łączne zużycie od początku roku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</si>
  <si>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Średnie dzienne zużycie w danym tygodniu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</si>
  <si>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Średnie dzienne zużycie od początku roku [m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</si>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</sst>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[$-415]d\ mmmm\ yyyy;@"/>
    <numFmt numFmtId="167" formatCode="d/m/yyyy;@"/>
  </numFmts>
  <fonts count="2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5" fontId="0" fillId="0" borderId="0" xfId="0" applyNumberFormat="1"/>
    <xf numFmtId="3" fontId="0" fillId="0" borderId="0" xfId="0" applyNumberFormat="1"/>
    <xf numFmtId="167" fontId="0" fillId="0" borderId="0" xfId="0" applyNumberFormat="1" applyAlignment="1">
      <alignment horizontal="left" vertical="center"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</cellXfs>
  <cellStyles count="1"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Prąd'!$F$3</c:f>
              <c:strCache>
                <c:ptCount val="1"/>
                <c:pt idx="0">
                  <c:v>Średnie dzienne zużycie w danym tygodniu [kW/h]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'Tabela Prąd'!$B$4:$B$56</c:f>
              <c:numCache>
                <c:formatCode>[$-415]d\ mmmm\ yyyy;@</c:formatCode>
                <c:ptCount val="53"/>
                <c:pt idx="0">
                  <c:v>44562</c:v>
                </c:pt>
                <c:pt idx="1">
                  <c:v>44569</c:v>
                </c:pt>
                <c:pt idx="2">
                  <c:v>44576</c:v>
                </c:pt>
                <c:pt idx="3">
                  <c:v>44583</c:v>
                </c:pt>
                <c:pt idx="4">
                  <c:v>44590</c:v>
                </c:pt>
                <c:pt idx="5">
                  <c:v>44597</c:v>
                </c:pt>
                <c:pt idx="6">
                  <c:v>44604</c:v>
                </c:pt>
                <c:pt idx="7">
                  <c:v>44611</c:v>
                </c:pt>
                <c:pt idx="8">
                  <c:v>44618</c:v>
                </c:pt>
                <c:pt idx="9">
                  <c:v>44625</c:v>
                </c:pt>
                <c:pt idx="10">
                  <c:v>44632</c:v>
                </c:pt>
                <c:pt idx="11">
                  <c:v>44639</c:v>
                </c:pt>
                <c:pt idx="12">
                  <c:v>44646</c:v>
                </c:pt>
                <c:pt idx="13">
                  <c:v>44653</c:v>
                </c:pt>
                <c:pt idx="14">
                  <c:v>44660</c:v>
                </c:pt>
                <c:pt idx="15">
                  <c:v>44667</c:v>
                </c:pt>
                <c:pt idx="16">
                  <c:v>44674</c:v>
                </c:pt>
                <c:pt idx="17">
                  <c:v>44681</c:v>
                </c:pt>
                <c:pt idx="18">
                  <c:v>44688</c:v>
                </c:pt>
                <c:pt idx="19">
                  <c:v>44695</c:v>
                </c:pt>
                <c:pt idx="20">
                  <c:v>44702</c:v>
                </c:pt>
                <c:pt idx="21">
                  <c:v>44709</c:v>
                </c:pt>
                <c:pt idx="22">
                  <c:v>44716</c:v>
                </c:pt>
                <c:pt idx="23">
                  <c:v>44723</c:v>
                </c:pt>
                <c:pt idx="24">
                  <c:v>44730</c:v>
                </c:pt>
                <c:pt idx="25">
                  <c:v>44737</c:v>
                </c:pt>
                <c:pt idx="26">
                  <c:v>44744</c:v>
                </c:pt>
                <c:pt idx="27">
                  <c:v>44751</c:v>
                </c:pt>
                <c:pt idx="28">
                  <c:v>44758</c:v>
                </c:pt>
                <c:pt idx="29">
                  <c:v>44765</c:v>
                </c:pt>
                <c:pt idx="30">
                  <c:v>44772</c:v>
                </c:pt>
                <c:pt idx="31">
                  <c:v>44779</c:v>
                </c:pt>
                <c:pt idx="32">
                  <c:v>44786</c:v>
                </c:pt>
                <c:pt idx="33">
                  <c:v>44793</c:v>
                </c:pt>
                <c:pt idx="34">
                  <c:v>44800</c:v>
                </c:pt>
                <c:pt idx="35">
                  <c:v>44807</c:v>
                </c:pt>
                <c:pt idx="36">
                  <c:v>44814</c:v>
                </c:pt>
                <c:pt idx="37">
                  <c:v>44821</c:v>
                </c:pt>
                <c:pt idx="38">
                  <c:v>44828</c:v>
                </c:pt>
                <c:pt idx="39">
                  <c:v>44835</c:v>
                </c:pt>
                <c:pt idx="40">
                  <c:v>44842</c:v>
                </c:pt>
                <c:pt idx="41">
                  <c:v>44849</c:v>
                </c:pt>
                <c:pt idx="42">
                  <c:v>44856</c:v>
                </c:pt>
                <c:pt idx="43">
                  <c:v>44863</c:v>
                </c:pt>
                <c:pt idx="44">
                  <c:v>44870</c:v>
                </c:pt>
                <c:pt idx="45">
                  <c:v>44877</c:v>
                </c:pt>
                <c:pt idx="46">
                  <c:v>44884</c:v>
                </c:pt>
                <c:pt idx="47">
                  <c:v>44891</c:v>
                </c:pt>
                <c:pt idx="48">
                  <c:v>44898</c:v>
                </c:pt>
                <c:pt idx="49">
                  <c:v>44905</c:v>
                </c:pt>
                <c:pt idx="50">
                  <c:v>44912</c:v>
                </c:pt>
                <c:pt idx="51">
                  <c:v>44919</c:v>
                </c:pt>
                <c:pt idx="52">
                  <c:v>44926</c:v>
                </c:pt>
              </c:numCache>
            </c:numRef>
          </c:cat>
          <c:val>
            <c:numRef>
              <c:f>'Tabela Prąd'!$F$4:$F$56</c:f>
              <c:numCache>
                <c:formatCode>0.00</c:formatCode>
                <c:ptCount val="53"/>
                <c:pt idx="0">
                  <c:v>0</c:v>
                </c:pt>
                <c:pt idx="1">
                  <c:v>510.42857142857144</c:v>
                </c:pt>
                <c:pt idx="2">
                  <c:v>464.14285714285717</c:v>
                </c:pt>
                <c:pt idx="3">
                  <c:v>145.42857142857142</c:v>
                </c:pt>
                <c:pt idx="4">
                  <c:v>368.28571428571428</c:v>
                </c:pt>
                <c:pt idx="5">
                  <c:v>299.28571428571428</c:v>
                </c:pt>
                <c:pt idx="6">
                  <c:v>516.28571428571433</c:v>
                </c:pt>
                <c:pt idx="7">
                  <c:v>436.57142857142856</c:v>
                </c:pt>
                <c:pt idx="8">
                  <c:v>553.57142857142856</c:v>
                </c:pt>
                <c:pt idx="9">
                  <c:v>485.71428571428572</c:v>
                </c:pt>
                <c:pt idx="10">
                  <c:v>513.85714285714289</c:v>
                </c:pt>
                <c:pt idx="11">
                  <c:v>532.85714285714289</c:v>
                </c:pt>
                <c:pt idx="12">
                  <c:v>314.85714285714283</c:v>
                </c:pt>
                <c:pt idx="13">
                  <c:v>417.42857142857144</c:v>
                </c:pt>
                <c:pt idx="14">
                  <c:v>226.85714285714286</c:v>
                </c:pt>
                <c:pt idx="15">
                  <c:v>468.57142857142856</c:v>
                </c:pt>
                <c:pt idx="16">
                  <c:v>364.57142857142856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753376"/>
        <c:axId val="531752984"/>
      </c:barChart>
      <c:dateAx>
        <c:axId val="531753376"/>
        <c:scaling>
          <c:orientation val="minMax"/>
        </c:scaling>
        <c:delete val="0"/>
        <c:axPos val="b"/>
        <c:numFmt formatCode="[$-415]d\ mmmm\ 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1752984"/>
        <c:crosses val="autoZero"/>
        <c:auto val="1"/>
        <c:lblOffset val="100"/>
        <c:baseTimeUnit val="days"/>
      </c:dateAx>
      <c:valAx>
        <c:axId val="53175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175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35</xdr:row>
      <xdr:rowOff>61912</xdr:rowOff>
    </xdr:from>
    <xdr:to>
      <xdr:col>7</xdr:col>
      <xdr:colOff>123825</xdr:colOff>
      <xdr:row>49</xdr:row>
      <xdr:rowOff>138112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62"/>
  <sheetViews>
    <sheetView tabSelected="1" topLeftCell="A28" workbookViewId="0">
      <selection activeCell="J43" sqref="J43"/>
    </sheetView>
  </sheetViews>
  <sheetFormatPr defaultRowHeight="15" x14ac:dyDescent="0.25"/>
  <cols>
    <col min="2" max="2" width="18.28515625" bestFit="1" customWidth="1"/>
    <col min="3" max="3" width="15.140625" customWidth="1"/>
    <col min="4" max="4" width="19.5703125" customWidth="1"/>
    <col min="5" max="5" width="25" customWidth="1"/>
    <col min="6" max="6" width="23.7109375" customWidth="1"/>
    <col min="7" max="7" width="22.85546875" customWidth="1"/>
  </cols>
  <sheetData>
    <row r="2" spans="2:7" x14ac:dyDescent="0.25">
      <c r="E2" t="s">
        <v>0</v>
      </c>
      <c r="F2" s="1">
        <v>44562</v>
      </c>
    </row>
    <row r="3" spans="2:7" ht="30" customHeight="1" x14ac:dyDescent="0.25">
      <c r="B3" s="6" t="s">
        <v>11</v>
      </c>
      <c r="C3" s="4" t="s">
        <v>1</v>
      </c>
      <c r="D3" s="4" t="s">
        <v>2</v>
      </c>
      <c r="E3" s="4" t="s">
        <v>3</v>
      </c>
      <c r="F3" s="3" t="s">
        <v>4</v>
      </c>
      <c r="G3" s="4" t="s">
        <v>5</v>
      </c>
    </row>
    <row r="4" spans="2:7" x14ac:dyDescent="0.25">
      <c r="B4" s="1">
        <f>F2</f>
        <v>44562</v>
      </c>
      <c r="C4" s="2">
        <f ca="1">RANDBETWEEN(100000,1000000)</f>
        <v>184157</v>
      </c>
      <c r="D4" s="2">
        <v>0</v>
      </c>
      <c r="E4" s="2">
        <f>SUM($D$4:D4)</f>
        <v>0</v>
      </c>
      <c r="F4" s="5">
        <f>IF(D4="","",D4/7)</f>
        <v>0</v>
      </c>
      <c r="G4" s="5">
        <f>E4</f>
        <v>0</v>
      </c>
    </row>
    <row r="5" spans="2:7" x14ac:dyDescent="0.25">
      <c r="B5" s="1">
        <f>B4+7</f>
        <v>44569</v>
      </c>
      <c r="C5" s="2">
        <f ca="1">C4+RANDBETWEEN(1000,4000)</f>
        <v>187730</v>
      </c>
      <c r="D5" s="2">
        <f t="shared" ref="D5:D19" ca="1" si="0">IF(ISBLANK(C5),"",IF(C5-C4&lt;0,"niepoprawne dane",C5-C4))</f>
        <v>3573</v>
      </c>
      <c r="E5" s="2">
        <f t="shared" ref="E5:E7" ca="1" si="1">IF(D5=""," ",E4+D5)</f>
        <v>3573</v>
      </c>
      <c r="F5" s="5">
        <f ca="1">IF(D5="","",D5/7)</f>
        <v>510.42857142857144</v>
      </c>
      <c r="G5" s="5">
        <f t="shared" ref="G5:G56" ca="1" si="2">IF(D5=""," ",E5/(B5-$F$2))</f>
        <v>510.42857142857144</v>
      </c>
    </row>
    <row r="6" spans="2:7" x14ac:dyDescent="0.25">
      <c r="B6" s="1">
        <f t="shared" ref="B6:B62" si="3">B5+7</f>
        <v>44576</v>
      </c>
      <c r="C6" s="2">
        <f t="shared" ref="C6:C20" ca="1" si="4">C5+RANDBETWEEN(1000,4000)</f>
        <v>190979</v>
      </c>
      <c r="D6" s="2">
        <f t="shared" ca="1" si="0"/>
        <v>3249</v>
      </c>
      <c r="E6" s="2">
        <f t="shared" ca="1" si="1"/>
        <v>6822</v>
      </c>
      <c r="F6" s="5">
        <f t="shared" ref="F6:F20" ca="1" si="5">IF(D6="","",D6/7)</f>
        <v>464.14285714285717</v>
      </c>
      <c r="G6" s="5">
        <f t="shared" ca="1" si="2"/>
        <v>487.28571428571428</v>
      </c>
    </row>
    <row r="7" spans="2:7" x14ac:dyDescent="0.25">
      <c r="B7" s="1">
        <f t="shared" si="3"/>
        <v>44583</v>
      </c>
      <c r="C7" s="2">
        <f t="shared" ca="1" si="4"/>
        <v>191997</v>
      </c>
      <c r="D7" s="2">
        <f t="shared" ca="1" si="0"/>
        <v>1018</v>
      </c>
      <c r="E7" s="2">
        <f t="shared" ca="1" si="1"/>
        <v>7840</v>
      </c>
      <c r="F7" s="5">
        <f t="shared" ca="1" si="5"/>
        <v>145.42857142857142</v>
      </c>
      <c r="G7" s="5">
        <f t="shared" ca="1" si="2"/>
        <v>373.33333333333331</v>
      </c>
    </row>
    <row r="8" spans="2:7" x14ac:dyDescent="0.25">
      <c r="B8" s="1">
        <f t="shared" si="3"/>
        <v>44590</v>
      </c>
      <c r="C8" s="2">
        <f t="shared" ca="1" si="4"/>
        <v>194575</v>
      </c>
      <c r="D8" s="2">
        <f t="shared" ca="1" si="0"/>
        <v>2578</v>
      </c>
      <c r="E8" s="2">
        <f t="shared" ref="E8:E21" ca="1" si="6">IF(D8=""," ",E7+D8)</f>
        <v>10418</v>
      </c>
      <c r="F8" s="5">
        <f t="shared" ca="1" si="5"/>
        <v>368.28571428571428</v>
      </c>
      <c r="G8" s="5">
        <f t="shared" ca="1" si="2"/>
        <v>372.07142857142856</v>
      </c>
    </row>
    <row r="9" spans="2:7" x14ac:dyDescent="0.25">
      <c r="B9" s="1">
        <f t="shared" si="3"/>
        <v>44597</v>
      </c>
      <c r="C9" s="2">
        <f t="shared" ca="1" si="4"/>
        <v>196670</v>
      </c>
      <c r="D9" s="2">
        <f t="shared" ca="1" si="0"/>
        <v>2095</v>
      </c>
      <c r="E9" s="2">
        <f t="shared" ca="1" si="6"/>
        <v>12513</v>
      </c>
      <c r="F9" s="5">
        <f t="shared" ca="1" si="5"/>
        <v>299.28571428571428</v>
      </c>
      <c r="G9" s="5">
        <f t="shared" ca="1" si="2"/>
        <v>357.51428571428573</v>
      </c>
    </row>
    <row r="10" spans="2:7" x14ac:dyDescent="0.25">
      <c r="B10" s="1">
        <f t="shared" si="3"/>
        <v>44604</v>
      </c>
      <c r="C10" s="2">
        <f t="shared" ca="1" si="4"/>
        <v>200284</v>
      </c>
      <c r="D10" s="2">
        <f t="shared" ca="1" si="0"/>
        <v>3614</v>
      </c>
      <c r="E10" s="2">
        <f t="shared" ca="1" si="6"/>
        <v>16127</v>
      </c>
      <c r="F10" s="5">
        <f t="shared" ca="1" si="5"/>
        <v>516.28571428571433</v>
      </c>
      <c r="G10" s="5">
        <f t="shared" ca="1" si="2"/>
        <v>383.97619047619048</v>
      </c>
    </row>
    <row r="11" spans="2:7" x14ac:dyDescent="0.25">
      <c r="B11" s="1">
        <f t="shared" si="3"/>
        <v>44611</v>
      </c>
      <c r="C11" s="2">
        <f t="shared" ca="1" si="4"/>
        <v>203340</v>
      </c>
      <c r="D11" s="2">
        <f t="shared" ca="1" si="0"/>
        <v>3056</v>
      </c>
      <c r="E11" s="2">
        <f t="shared" ca="1" si="6"/>
        <v>19183</v>
      </c>
      <c r="F11" s="5">
        <f t="shared" ca="1" si="5"/>
        <v>436.57142857142856</v>
      </c>
      <c r="G11" s="5">
        <f t="shared" ca="1" si="2"/>
        <v>391.48979591836735</v>
      </c>
    </row>
    <row r="12" spans="2:7" x14ac:dyDescent="0.25">
      <c r="B12" s="1">
        <f t="shared" si="3"/>
        <v>44618</v>
      </c>
      <c r="C12" s="2">
        <f t="shared" ca="1" si="4"/>
        <v>207215</v>
      </c>
      <c r="D12" s="2">
        <f t="shared" ca="1" si="0"/>
        <v>3875</v>
      </c>
      <c r="E12" s="2">
        <f t="shared" ca="1" si="6"/>
        <v>23058</v>
      </c>
      <c r="F12" s="5">
        <f t="shared" ca="1" si="5"/>
        <v>553.57142857142856</v>
      </c>
      <c r="G12" s="5">
        <f t="shared" ca="1" si="2"/>
        <v>411.75</v>
      </c>
    </row>
    <row r="13" spans="2:7" x14ac:dyDescent="0.25">
      <c r="B13" s="1">
        <f t="shared" si="3"/>
        <v>44625</v>
      </c>
      <c r="C13" s="2">
        <f t="shared" ca="1" si="4"/>
        <v>210615</v>
      </c>
      <c r="D13" s="2">
        <f t="shared" ca="1" si="0"/>
        <v>3400</v>
      </c>
      <c r="E13" s="2">
        <f t="shared" ca="1" si="6"/>
        <v>26458</v>
      </c>
      <c r="F13" s="5">
        <f t="shared" ca="1" si="5"/>
        <v>485.71428571428572</v>
      </c>
      <c r="G13" s="5">
        <f t="shared" ca="1" si="2"/>
        <v>419.96825396825398</v>
      </c>
    </row>
    <row r="14" spans="2:7" x14ac:dyDescent="0.25">
      <c r="B14" s="1">
        <f t="shared" si="3"/>
        <v>44632</v>
      </c>
      <c r="C14" s="2">
        <f t="shared" ca="1" si="4"/>
        <v>214212</v>
      </c>
      <c r="D14" s="2">
        <f t="shared" ca="1" si="0"/>
        <v>3597</v>
      </c>
      <c r="E14" s="2">
        <f t="shared" ca="1" si="6"/>
        <v>30055</v>
      </c>
      <c r="F14" s="5">
        <f t="shared" ca="1" si="5"/>
        <v>513.85714285714289</v>
      </c>
      <c r="G14" s="5">
        <f t="shared" ca="1" si="2"/>
        <v>429.35714285714283</v>
      </c>
    </row>
    <row r="15" spans="2:7" x14ac:dyDescent="0.25">
      <c r="B15" s="1">
        <f t="shared" si="3"/>
        <v>44639</v>
      </c>
      <c r="C15" s="2">
        <f t="shared" ca="1" si="4"/>
        <v>217942</v>
      </c>
      <c r="D15" s="2">
        <f t="shared" ca="1" si="0"/>
        <v>3730</v>
      </c>
      <c r="E15" s="2">
        <f t="shared" ca="1" si="6"/>
        <v>33785</v>
      </c>
      <c r="F15" s="5">
        <f t="shared" ca="1" si="5"/>
        <v>532.85714285714289</v>
      </c>
      <c r="G15" s="5">
        <f t="shared" ca="1" si="2"/>
        <v>438.76623376623377</v>
      </c>
    </row>
    <row r="16" spans="2:7" x14ac:dyDescent="0.25">
      <c r="B16" s="1">
        <f t="shared" si="3"/>
        <v>44646</v>
      </c>
      <c r="C16" s="2">
        <f t="shared" ca="1" si="4"/>
        <v>220146</v>
      </c>
      <c r="D16" s="2">
        <f t="shared" ca="1" si="0"/>
        <v>2204</v>
      </c>
      <c r="E16" s="2">
        <f t="shared" ca="1" si="6"/>
        <v>35989</v>
      </c>
      <c r="F16" s="5">
        <f t="shared" ca="1" si="5"/>
        <v>314.85714285714283</v>
      </c>
      <c r="G16" s="5">
        <f t="shared" ca="1" si="2"/>
        <v>428.4404761904762</v>
      </c>
    </row>
    <row r="17" spans="2:7" x14ac:dyDescent="0.25">
      <c r="B17" s="1">
        <f t="shared" si="3"/>
        <v>44653</v>
      </c>
      <c r="C17" s="2">
        <f t="shared" ca="1" si="4"/>
        <v>223068</v>
      </c>
      <c r="D17" s="2">
        <f t="shared" ca="1" si="0"/>
        <v>2922</v>
      </c>
      <c r="E17" s="2">
        <f t="shared" ca="1" si="6"/>
        <v>38911</v>
      </c>
      <c r="F17" s="5">
        <f t="shared" ca="1" si="5"/>
        <v>417.42857142857144</v>
      </c>
      <c r="G17" s="5">
        <f t="shared" ca="1" si="2"/>
        <v>427.5934065934066</v>
      </c>
    </row>
    <row r="18" spans="2:7" x14ac:dyDescent="0.25">
      <c r="B18" s="1">
        <f t="shared" si="3"/>
        <v>44660</v>
      </c>
      <c r="C18" s="2">
        <f t="shared" ca="1" si="4"/>
        <v>224656</v>
      </c>
      <c r="D18" s="2">
        <f t="shared" ca="1" si="0"/>
        <v>1588</v>
      </c>
      <c r="E18" s="2">
        <f t="shared" ca="1" si="6"/>
        <v>40499</v>
      </c>
      <c r="F18" s="5">
        <f t="shared" ca="1" si="5"/>
        <v>226.85714285714286</v>
      </c>
      <c r="G18" s="5">
        <f t="shared" ca="1" si="2"/>
        <v>413.25510204081633</v>
      </c>
    </row>
    <row r="19" spans="2:7" x14ac:dyDescent="0.25">
      <c r="B19" s="1">
        <f t="shared" si="3"/>
        <v>44667</v>
      </c>
      <c r="C19" s="2">
        <f t="shared" ca="1" si="4"/>
        <v>227936</v>
      </c>
      <c r="D19" s="2">
        <f t="shared" ca="1" si="0"/>
        <v>3280</v>
      </c>
      <c r="E19" s="2">
        <f t="shared" ca="1" si="6"/>
        <v>43779</v>
      </c>
      <c r="F19" s="5">
        <f t="shared" ca="1" si="5"/>
        <v>468.57142857142856</v>
      </c>
      <c r="G19" s="5">
        <f t="shared" ca="1" si="2"/>
        <v>416.94285714285712</v>
      </c>
    </row>
    <row r="20" spans="2:7" x14ac:dyDescent="0.25">
      <c r="B20" s="1">
        <f t="shared" si="3"/>
        <v>44674</v>
      </c>
      <c r="C20" s="2">
        <f t="shared" ca="1" si="4"/>
        <v>230488</v>
      </c>
      <c r="D20" s="2">
        <f ca="1">IF(ISBLANK(C20),"",IF(C20-C19&lt;0,"niepoprawne dane",C20-C19))</f>
        <v>2552</v>
      </c>
      <c r="E20" s="2">
        <f t="shared" ca="1" si="6"/>
        <v>46331</v>
      </c>
      <c r="F20" s="5">
        <f t="shared" ca="1" si="5"/>
        <v>364.57142857142856</v>
      </c>
      <c r="G20" s="5">
        <f ca="1">IF(D20=""," ",E20/(B20-$F$2))</f>
        <v>413.66964285714283</v>
      </c>
    </row>
    <row r="21" spans="2:7" x14ac:dyDescent="0.25">
      <c r="B21" s="1">
        <f t="shared" si="3"/>
        <v>44681</v>
      </c>
      <c r="C21" s="2"/>
      <c r="D21" s="2" t="str">
        <f>IF(ISBLANK(C21),"",IF(C21-C20&lt;0,"niepoprawne dane",C21-C20))</f>
        <v/>
      </c>
      <c r="E21" s="2" t="str">
        <f t="shared" si="6"/>
        <v xml:space="preserve"> </v>
      </c>
      <c r="F21" s="5" t="str">
        <f>IF(D21="","",D21/7)</f>
        <v/>
      </c>
      <c r="G21" s="5" t="str">
        <f t="shared" si="2"/>
        <v xml:space="preserve"> </v>
      </c>
    </row>
    <row r="22" spans="2:7" x14ac:dyDescent="0.25">
      <c r="B22" s="1">
        <f t="shared" si="3"/>
        <v>44688</v>
      </c>
      <c r="C22" s="2"/>
      <c r="D22" s="2" t="str">
        <f t="shared" ref="D22:D56" si="7">IF(ISBLANK(C22),"",IF(C22-C21&lt;0,"niepoprawne dane",C22-C21))</f>
        <v/>
      </c>
      <c r="E22" s="2" t="str">
        <f t="shared" ref="E22:E56" si="8">IF(D22=""," ",E21+D22)</f>
        <v xml:space="preserve"> </v>
      </c>
      <c r="F22" s="5" t="str">
        <f t="shared" ref="F22:F56" si="9">IF(D22="","",D22/7)</f>
        <v/>
      </c>
      <c r="G22" s="5" t="str">
        <f t="shared" si="2"/>
        <v xml:space="preserve"> </v>
      </c>
    </row>
    <row r="23" spans="2:7" x14ac:dyDescent="0.25">
      <c r="B23" s="1">
        <f t="shared" si="3"/>
        <v>44695</v>
      </c>
      <c r="C23" s="2"/>
      <c r="D23" s="2" t="str">
        <f t="shared" si="7"/>
        <v/>
      </c>
      <c r="E23" s="2" t="str">
        <f t="shared" si="8"/>
        <v xml:space="preserve"> </v>
      </c>
      <c r="F23" s="5" t="str">
        <f t="shared" si="9"/>
        <v/>
      </c>
      <c r="G23" s="5" t="str">
        <f t="shared" si="2"/>
        <v xml:space="preserve"> </v>
      </c>
    </row>
    <row r="24" spans="2:7" x14ac:dyDescent="0.25">
      <c r="B24" s="1">
        <f t="shared" si="3"/>
        <v>44702</v>
      </c>
      <c r="C24" s="2"/>
      <c r="D24" s="2" t="str">
        <f t="shared" si="7"/>
        <v/>
      </c>
      <c r="E24" s="2" t="str">
        <f t="shared" si="8"/>
        <v xml:space="preserve"> </v>
      </c>
      <c r="F24" s="5" t="str">
        <f t="shared" si="9"/>
        <v/>
      </c>
      <c r="G24" s="5" t="str">
        <f t="shared" si="2"/>
        <v xml:space="preserve"> </v>
      </c>
    </row>
    <row r="25" spans="2:7" x14ac:dyDescent="0.25">
      <c r="B25" s="1">
        <f t="shared" si="3"/>
        <v>44709</v>
      </c>
      <c r="C25" s="2"/>
      <c r="D25" s="2" t="str">
        <f t="shared" si="7"/>
        <v/>
      </c>
      <c r="E25" s="2" t="str">
        <f t="shared" si="8"/>
        <v xml:space="preserve"> </v>
      </c>
      <c r="F25" s="5" t="str">
        <f t="shared" si="9"/>
        <v/>
      </c>
      <c r="G25" s="5" t="str">
        <f t="shared" si="2"/>
        <v xml:space="preserve"> </v>
      </c>
    </row>
    <row r="26" spans="2:7" x14ac:dyDescent="0.25">
      <c r="B26" s="1">
        <f t="shared" si="3"/>
        <v>44716</v>
      </c>
      <c r="C26" s="2"/>
      <c r="D26" s="2" t="str">
        <f t="shared" si="7"/>
        <v/>
      </c>
      <c r="E26" s="2" t="str">
        <f t="shared" si="8"/>
        <v xml:space="preserve"> </v>
      </c>
      <c r="F26" s="5" t="str">
        <f t="shared" si="9"/>
        <v/>
      </c>
      <c r="G26" s="5" t="str">
        <f t="shared" si="2"/>
        <v xml:space="preserve"> </v>
      </c>
    </row>
    <row r="27" spans="2:7" x14ac:dyDescent="0.25">
      <c r="B27" s="1">
        <f t="shared" si="3"/>
        <v>44723</v>
      </c>
      <c r="C27" s="2"/>
      <c r="D27" s="2" t="str">
        <f t="shared" si="7"/>
        <v/>
      </c>
      <c r="E27" s="2" t="str">
        <f t="shared" si="8"/>
        <v xml:space="preserve"> </v>
      </c>
      <c r="F27" s="5" t="str">
        <f t="shared" si="9"/>
        <v/>
      </c>
      <c r="G27" s="5" t="str">
        <f t="shared" si="2"/>
        <v xml:space="preserve"> </v>
      </c>
    </row>
    <row r="28" spans="2:7" x14ac:dyDescent="0.25">
      <c r="B28" s="1">
        <f t="shared" si="3"/>
        <v>44730</v>
      </c>
      <c r="C28" s="2"/>
      <c r="D28" s="2" t="str">
        <f t="shared" si="7"/>
        <v/>
      </c>
      <c r="E28" s="2" t="str">
        <f t="shared" si="8"/>
        <v xml:space="preserve"> </v>
      </c>
      <c r="F28" s="5" t="str">
        <f t="shared" si="9"/>
        <v/>
      </c>
      <c r="G28" s="5" t="str">
        <f t="shared" si="2"/>
        <v xml:space="preserve"> </v>
      </c>
    </row>
    <row r="29" spans="2:7" x14ac:dyDescent="0.25">
      <c r="B29" s="1">
        <f t="shared" si="3"/>
        <v>44737</v>
      </c>
      <c r="C29" s="2"/>
      <c r="D29" s="2" t="str">
        <f t="shared" si="7"/>
        <v/>
      </c>
      <c r="E29" s="2" t="str">
        <f t="shared" si="8"/>
        <v xml:space="preserve"> </v>
      </c>
      <c r="F29" s="5" t="str">
        <f t="shared" si="9"/>
        <v/>
      </c>
      <c r="G29" s="5" t="str">
        <f t="shared" si="2"/>
        <v xml:space="preserve"> </v>
      </c>
    </row>
    <row r="30" spans="2:7" x14ac:dyDescent="0.25">
      <c r="B30" s="1">
        <f t="shared" si="3"/>
        <v>44744</v>
      </c>
      <c r="C30" s="2"/>
      <c r="D30" s="2" t="str">
        <f t="shared" si="7"/>
        <v/>
      </c>
      <c r="E30" s="2" t="str">
        <f t="shared" si="8"/>
        <v xml:space="preserve"> </v>
      </c>
      <c r="F30" s="5" t="str">
        <f t="shared" si="9"/>
        <v/>
      </c>
      <c r="G30" s="5" t="str">
        <f t="shared" si="2"/>
        <v xml:space="preserve"> </v>
      </c>
    </row>
    <row r="31" spans="2:7" x14ac:dyDescent="0.25">
      <c r="B31" s="1">
        <f t="shared" si="3"/>
        <v>44751</v>
      </c>
      <c r="C31" s="2"/>
      <c r="D31" s="2" t="str">
        <f t="shared" si="7"/>
        <v/>
      </c>
      <c r="E31" s="2" t="str">
        <f t="shared" si="8"/>
        <v xml:space="preserve"> </v>
      </c>
      <c r="F31" s="5" t="str">
        <f t="shared" si="9"/>
        <v/>
      </c>
      <c r="G31" s="5" t="str">
        <f t="shared" si="2"/>
        <v xml:space="preserve"> </v>
      </c>
    </row>
    <row r="32" spans="2:7" x14ac:dyDescent="0.25">
      <c r="B32" s="1">
        <f t="shared" si="3"/>
        <v>44758</v>
      </c>
      <c r="C32" s="2"/>
      <c r="D32" s="2" t="str">
        <f t="shared" si="7"/>
        <v/>
      </c>
      <c r="E32" s="2" t="str">
        <f t="shared" si="8"/>
        <v xml:space="preserve"> </v>
      </c>
      <c r="F32" s="5" t="str">
        <f t="shared" si="9"/>
        <v/>
      </c>
      <c r="G32" s="5" t="str">
        <f t="shared" si="2"/>
        <v xml:space="preserve"> </v>
      </c>
    </row>
    <row r="33" spans="2:7" x14ac:dyDescent="0.25">
      <c r="B33" s="1">
        <f t="shared" si="3"/>
        <v>44765</v>
      </c>
      <c r="C33" s="2"/>
      <c r="D33" s="2" t="str">
        <f t="shared" si="7"/>
        <v/>
      </c>
      <c r="E33" s="2" t="str">
        <f t="shared" si="8"/>
        <v xml:space="preserve"> </v>
      </c>
      <c r="F33" s="5" t="str">
        <f t="shared" si="9"/>
        <v/>
      </c>
      <c r="G33" s="5" t="str">
        <f t="shared" si="2"/>
        <v xml:space="preserve"> </v>
      </c>
    </row>
    <row r="34" spans="2:7" x14ac:dyDescent="0.25">
      <c r="B34" s="1">
        <f t="shared" si="3"/>
        <v>44772</v>
      </c>
      <c r="C34" s="2"/>
      <c r="D34" s="2" t="str">
        <f t="shared" si="7"/>
        <v/>
      </c>
      <c r="E34" s="2" t="str">
        <f t="shared" si="8"/>
        <v xml:space="preserve"> </v>
      </c>
      <c r="F34" s="5" t="str">
        <f t="shared" si="9"/>
        <v/>
      </c>
      <c r="G34" s="5" t="str">
        <f t="shared" si="2"/>
        <v xml:space="preserve"> </v>
      </c>
    </row>
    <row r="35" spans="2:7" x14ac:dyDescent="0.25">
      <c r="B35" s="1">
        <f t="shared" si="3"/>
        <v>44779</v>
      </c>
      <c r="C35" s="2"/>
      <c r="D35" s="2" t="str">
        <f t="shared" si="7"/>
        <v/>
      </c>
      <c r="E35" s="2" t="str">
        <f t="shared" si="8"/>
        <v xml:space="preserve"> </v>
      </c>
      <c r="F35" s="5" t="str">
        <f t="shared" si="9"/>
        <v/>
      </c>
      <c r="G35" s="5" t="str">
        <f t="shared" si="2"/>
        <v xml:space="preserve"> </v>
      </c>
    </row>
    <row r="36" spans="2:7" x14ac:dyDescent="0.25">
      <c r="B36" s="1">
        <f t="shared" si="3"/>
        <v>44786</v>
      </c>
      <c r="C36" s="2"/>
      <c r="D36" s="2" t="str">
        <f t="shared" si="7"/>
        <v/>
      </c>
      <c r="E36" s="2" t="str">
        <f t="shared" si="8"/>
        <v xml:space="preserve"> </v>
      </c>
      <c r="F36" s="5" t="str">
        <f t="shared" si="9"/>
        <v/>
      </c>
      <c r="G36" s="5" t="str">
        <f t="shared" si="2"/>
        <v xml:space="preserve"> </v>
      </c>
    </row>
    <row r="37" spans="2:7" x14ac:dyDescent="0.25">
      <c r="B37" s="1">
        <f t="shared" si="3"/>
        <v>44793</v>
      </c>
      <c r="C37" s="2"/>
      <c r="D37" s="2" t="str">
        <f t="shared" si="7"/>
        <v/>
      </c>
      <c r="E37" s="2" t="str">
        <f t="shared" si="8"/>
        <v xml:space="preserve"> </v>
      </c>
      <c r="F37" s="5" t="str">
        <f t="shared" si="9"/>
        <v/>
      </c>
      <c r="G37" s="5" t="str">
        <f t="shared" si="2"/>
        <v xml:space="preserve"> </v>
      </c>
    </row>
    <row r="38" spans="2:7" x14ac:dyDescent="0.25">
      <c r="B38" s="1">
        <f t="shared" si="3"/>
        <v>44800</v>
      </c>
      <c r="C38" s="2"/>
      <c r="D38" s="2" t="str">
        <f t="shared" si="7"/>
        <v/>
      </c>
      <c r="E38" s="2" t="str">
        <f t="shared" si="8"/>
        <v xml:space="preserve"> </v>
      </c>
      <c r="F38" s="5" t="str">
        <f t="shared" si="9"/>
        <v/>
      </c>
      <c r="G38" s="5" t="str">
        <f t="shared" si="2"/>
        <v xml:space="preserve"> </v>
      </c>
    </row>
    <row r="39" spans="2:7" x14ac:dyDescent="0.25">
      <c r="B39" s="1">
        <f t="shared" si="3"/>
        <v>44807</v>
      </c>
      <c r="C39" s="2"/>
      <c r="D39" s="2" t="str">
        <f t="shared" si="7"/>
        <v/>
      </c>
      <c r="E39" s="2" t="str">
        <f t="shared" si="8"/>
        <v xml:space="preserve"> </v>
      </c>
      <c r="F39" s="5" t="str">
        <f t="shared" si="9"/>
        <v/>
      </c>
      <c r="G39" s="5" t="str">
        <f t="shared" si="2"/>
        <v xml:space="preserve"> </v>
      </c>
    </row>
    <row r="40" spans="2:7" x14ac:dyDescent="0.25">
      <c r="B40" s="1">
        <f t="shared" si="3"/>
        <v>44814</v>
      </c>
      <c r="C40" s="2"/>
      <c r="D40" s="2" t="str">
        <f t="shared" si="7"/>
        <v/>
      </c>
      <c r="E40" s="2" t="str">
        <f t="shared" si="8"/>
        <v xml:space="preserve"> </v>
      </c>
      <c r="F40" s="5" t="str">
        <f t="shared" si="9"/>
        <v/>
      </c>
      <c r="G40" s="5" t="str">
        <f t="shared" si="2"/>
        <v xml:space="preserve"> </v>
      </c>
    </row>
    <row r="41" spans="2:7" x14ac:dyDescent="0.25">
      <c r="B41" s="1">
        <f t="shared" si="3"/>
        <v>44821</v>
      </c>
      <c r="C41" s="2"/>
      <c r="D41" s="2" t="str">
        <f t="shared" si="7"/>
        <v/>
      </c>
      <c r="E41" s="2" t="str">
        <f t="shared" si="8"/>
        <v xml:space="preserve"> </v>
      </c>
      <c r="F41" s="5" t="str">
        <f t="shared" si="9"/>
        <v/>
      </c>
      <c r="G41" s="5" t="str">
        <f t="shared" si="2"/>
        <v xml:space="preserve"> </v>
      </c>
    </row>
    <row r="42" spans="2:7" x14ac:dyDescent="0.25">
      <c r="B42" s="1">
        <f t="shared" si="3"/>
        <v>44828</v>
      </c>
      <c r="C42" s="2"/>
      <c r="D42" s="2" t="str">
        <f t="shared" si="7"/>
        <v/>
      </c>
      <c r="E42" s="2" t="str">
        <f t="shared" si="8"/>
        <v xml:space="preserve"> </v>
      </c>
      <c r="F42" s="5" t="str">
        <f t="shared" si="9"/>
        <v/>
      </c>
      <c r="G42" s="5" t="str">
        <f t="shared" si="2"/>
        <v xml:space="preserve"> </v>
      </c>
    </row>
    <row r="43" spans="2:7" x14ac:dyDescent="0.25">
      <c r="B43" s="1">
        <f t="shared" si="3"/>
        <v>44835</v>
      </c>
      <c r="C43" s="2"/>
      <c r="D43" s="2" t="str">
        <f t="shared" si="7"/>
        <v/>
      </c>
      <c r="E43" s="2" t="str">
        <f t="shared" si="8"/>
        <v xml:space="preserve"> </v>
      </c>
      <c r="F43" s="5" t="str">
        <f t="shared" si="9"/>
        <v/>
      </c>
      <c r="G43" s="5" t="str">
        <f t="shared" si="2"/>
        <v xml:space="preserve"> </v>
      </c>
    </row>
    <row r="44" spans="2:7" x14ac:dyDescent="0.25">
      <c r="B44" s="1">
        <f t="shared" si="3"/>
        <v>44842</v>
      </c>
      <c r="C44" s="2"/>
      <c r="D44" s="2" t="str">
        <f t="shared" si="7"/>
        <v/>
      </c>
      <c r="E44" s="2" t="str">
        <f t="shared" si="8"/>
        <v xml:space="preserve"> </v>
      </c>
      <c r="F44" s="5" t="str">
        <f t="shared" si="9"/>
        <v/>
      </c>
      <c r="G44" s="5" t="str">
        <f t="shared" si="2"/>
        <v xml:space="preserve"> </v>
      </c>
    </row>
    <row r="45" spans="2:7" x14ac:dyDescent="0.25">
      <c r="B45" s="1">
        <f t="shared" si="3"/>
        <v>44849</v>
      </c>
      <c r="C45" s="2"/>
      <c r="D45" s="2" t="str">
        <f t="shared" si="7"/>
        <v/>
      </c>
      <c r="E45" s="2" t="str">
        <f t="shared" si="8"/>
        <v xml:space="preserve"> </v>
      </c>
      <c r="F45" s="5" t="str">
        <f t="shared" si="9"/>
        <v/>
      </c>
      <c r="G45" s="5" t="str">
        <f t="shared" si="2"/>
        <v xml:space="preserve"> </v>
      </c>
    </row>
    <row r="46" spans="2:7" x14ac:dyDescent="0.25">
      <c r="B46" s="1">
        <f t="shared" si="3"/>
        <v>44856</v>
      </c>
      <c r="C46" s="2"/>
      <c r="D46" s="2" t="str">
        <f t="shared" si="7"/>
        <v/>
      </c>
      <c r="E46" s="2" t="str">
        <f t="shared" si="8"/>
        <v xml:space="preserve"> </v>
      </c>
      <c r="F46" s="5" t="str">
        <f t="shared" si="9"/>
        <v/>
      </c>
      <c r="G46" s="5" t="str">
        <f t="shared" si="2"/>
        <v xml:space="preserve"> </v>
      </c>
    </row>
    <row r="47" spans="2:7" x14ac:dyDescent="0.25">
      <c r="B47" s="1">
        <f t="shared" si="3"/>
        <v>44863</v>
      </c>
      <c r="C47" s="2"/>
      <c r="D47" s="2" t="str">
        <f t="shared" si="7"/>
        <v/>
      </c>
      <c r="E47" s="2" t="str">
        <f t="shared" si="8"/>
        <v xml:space="preserve"> </v>
      </c>
      <c r="F47" s="5" t="str">
        <f t="shared" si="9"/>
        <v/>
      </c>
      <c r="G47" s="5" t="str">
        <f t="shared" si="2"/>
        <v xml:space="preserve"> </v>
      </c>
    </row>
    <row r="48" spans="2:7" x14ac:dyDescent="0.25">
      <c r="B48" s="1">
        <f t="shared" si="3"/>
        <v>44870</v>
      </c>
      <c r="C48" s="2"/>
      <c r="D48" s="2" t="str">
        <f t="shared" si="7"/>
        <v/>
      </c>
      <c r="E48" s="2" t="str">
        <f t="shared" si="8"/>
        <v xml:space="preserve"> </v>
      </c>
      <c r="F48" s="5" t="str">
        <f t="shared" si="9"/>
        <v/>
      </c>
      <c r="G48" s="5" t="str">
        <f t="shared" si="2"/>
        <v xml:space="preserve"> </v>
      </c>
    </row>
    <row r="49" spans="2:7" x14ac:dyDescent="0.25">
      <c r="B49" s="1">
        <f t="shared" si="3"/>
        <v>44877</v>
      </c>
      <c r="C49" s="2"/>
      <c r="D49" s="2" t="str">
        <f t="shared" si="7"/>
        <v/>
      </c>
      <c r="E49" s="2" t="str">
        <f t="shared" si="8"/>
        <v xml:space="preserve"> </v>
      </c>
      <c r="F49" s="5" t="str">
        <f t="shared" si="9"/>
        <v/>
      </c>
      <c r="G49" s="5" t="str">
        <f t="shared" si="2"/>
        <v xml:space="preserve"> </v>
      </c>
    </row>
    <row r="50" spans="2:7" x14ac:dyDescent="0.25">
      <c r="B50" s="1">
        <f t="shared" si="3"/>
        <v>44884</v>
      </c>
      <c r="C50" s="2"/>
      <c r="D50" s="2" t="str">
        <f t="shared" si="7"/>
        <v/>
      </c>
      <c r="E50" s="2" t="str">
        <f t="shared" si="8"/>
        <v xml:space="preserve"> </v>
      </c>
      <c r="F50" s="5" t="str">
        <f t="shared" si="9"/>
        <v/>
      </c>
      <c r="G50" s="5" t="str">
        <f t="shared" si="2"/>
        <v xml:space="preserve"> </v>
      </c>
    </row>
    <row r="51" spans="2:7" x14ac:dyDescent="0.25">
      <c r="B51" s="1">
        <f t="shared" si="3"/>
        <v>44891</v>
      </c>
      <c r="C51" s="2"/>
      <c r="D51" s="2" t="str">
        <f t="shared" si="7"/>
        <v/>
      </c>
      <c r="E51" s="2" t="str">
        <f t="shared" si="8"/>
        <v xml:space="preserve"> </v>
      </c>
      <c r="F51" s="5" t="str">
        <f t="shared" si="9"/>
        <v/>
      </c>
      <c r="G51" s="5" t="str">
        <f t="shared" si="2"/>
        <v xml:space="preserve"> </v>
      </c>
    </row>
    <row r="52" spans="2:7" x14ac:dyDescent="0.25">
      <c r="B52" s="1">
        <f t="shared" si="3"/>
        <v>44898</v>
      </c>
      <c r="C52" s="2"/>
      <c r="D52" s="2" t="str">
        <f t="shared" si="7"/>
        <v/>
      </c>
      <c r="E52" s="2" t="str">
        <f t="shared" si="8"/>
        <v xml:space="preserve"> </v>
      </c>
      <c r="F52" s="5" t="str">
        <f t="shared" si="9"/>
        <v/>
      </c>
      <c r="G52" s="5" t="str">
        <f t="shared" si="2"/>
        <v xml:space="preserve"> </v>
      </c>
    </row>
    <row r="53" spans="2:7" x14ac:dyDescent="0.25">
      <c r="B53" s="1">
        <f t="shared" si="3"/>
        <v>44905</v>
      </c>
      <c r="C53" s="2"/>
      <c r="D53" s="2" t="str">
        <f t="shared" si="7"/>
        <v/>
      </c>
      <c r="E53" s="2" t="str">
        <f t="shared" si="8"/>
        <v xml:space="preserve"> </v>
      </c>
      <c r="F53" s="5" t="str">
        <f t="shared" si="9"/>
        <v/>
      </c>
      <c r="G53" s="5" t="str">
        <f t="shared" si="2"/>
        <v xml:space="preserve"> </v>
      </c>
    </row>
    <row r="54" spans="2:7" x14ac:dyDescent="0.25">
      <c r="B54" s="1">
        <f t="shared" si="3"/>
        <v>44912</v>
      </c>
      <c r="C54" s="2"/>
      <c r="D54" s="2" t="str">
        <f t="shared" si="7"/>
        <v/>
      </c>
      <c r="E54" s="2" t="str">
        <f t="shared" si="8"/>
        <v xml:space="preserve"> </v>
      </c>
      <c r="F54" s="5" t="str">
        <f t="shared" si="9"/>
        <v/>
      </c>
      <c r="G54" s="5" t="str">
        <f t="shared" si="2"/>
        <v xml:space="preserve"> </v>
      </c>
    </row>
    <row r="55" spans="2:7" x14ac:dyDescent="0.25">
      <c r="B55" s="1">
        <f t="shared" si="3"/>
        <v>44919</v>
      </c>
      <c r="C55" s="2"/>
      <c r="D55" s="2" t="str">
        <f t="shared" si="7"/>
        <v/>
      </c>
      <c r="E55" s="2" t="str">
        <f t="shared" si="8"/>
        <v xml:space="preserve"> </v>
      </c>
      <c r="F55" s="5" t="str">
        <f t="shared" si="9"/>
        <v/>
      </c>
      <c r="G55" s="5" t="str">
        <f t="shared" si="2"/>
        <v xml:space="preserve"> </v>
      </c>
    </row>
    <row r="56" spans="2:7" x14ac:dyDescent="0.25">
      <c r="B56" s="1">
        <f t="shared" si="3"/>
        <v>44926</v>
      </c>
      <c r="C56" s="2"/>
      <c r="D56" s="2" t="str">
        <f t="shared" si="7"/>
        <v/>
      </c>
      <c r="E56" s="2" t="str">
        <f t="shared" si="8"/>
        <v xml:space="preserve"> </v>
      </c>
      <c r="F56" s="5" t="str">
        <f t="shared" si="9"/>
        <v/>
      </c>
      <c r="G56" s="5" t="str">
        <f t="shared" si="2"/>
        <v xml:space="preserve"> </v>
      </c>
    </row>
    <row r="57" spans="2:7" x14ac:dyDescent="0.25">
      <c r="B57" s="1"/>
    </row>
    <row r="58" spans="2:7" x14ac:dyDescent="0.25">
      <c r="B58" s="1"/>
    </row>
    <row r="59" spans="2:7" x14ac:dyDescent="0.25">
      <c r="B59" s="1"/>
    </row>
    <row r="60" spans="2:7" x14ac:dyDescent="0.25">
      <c r="B60" s="1"/>
    </row>
    <row r="61" spans="2:7" x14ac:dyDescent="0.25">
      <c r="B61" s="1"/>
    </row>
    <row r="62" spans="2:7" x14ac:dyDescent="0.25">
      <c r="B62" s="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56"/>
  <sheetViews>
    <sheetView workbookViewId="0">
      <selection activeCell="I10" sqref="I10"/>
    </sheetView>
  </sheetViews>
  <sheetFormatPr defaultRowHeight="15" x14ac:dyDescent="0.25"/>
  <cols>
    <col min="2" max="2" width="18.28515625" bestFit="1" customWidth="1"/>
    <col min="3" max="3" width="15.140625" customWidth="1"/>
    <col min="4" max="4" width="19.5703125" customWidth="1"/>
    <col min="5" max="5" width="25" customWidth="1"/>
    <col min="6" max="6" width="23.7109375" customWidth="1"/>
    <col min="7" max="7" width="22.85546875" customWidth="1"/>
  </cols>
  <sheetData>
    <row r="2" spans="2:7" x14ac:dyDescent="0.25">
      <c r="E2" t="s">
        <v>0</v>
      </c>
      <c r="F2" s="1">
        <v>44562</v>
      </c>
    </row>
    <row r="3" spans="2:7" ht="30.75" customHeight="1" x14ac:dyDescent="0.25">
      <c r="B3" s="6" t="s">
        <v>11</v>
      </c>
      <c r="C3" s="8" t="s">
        <v>6</v>
      </c>
      <c r="D3" s="7" t="s">
        <v>7</v>
      </c>
      <c r="E3" s="7" t="s">
        <v>8</v>
      </c>
      <c r="F3" s="9" t="s">
        <v>9</v>
      </c>
      <c r="G3" s="7" t="s">
        <v>10</v>
      </c>
    </row>
    <row r="4" spans="2:7" x14ac:dyDescent="0.25">
      <c r="B4" s="1">
        <f>F2</f>
        <v>44562</v>
      </c>
      <c r="C4" s="2">
        <f ca="1">RANDBETWEEN(1000,10000)</f>
        <v>1587</v>
      </c>
      <c r="D4" s="2">
        <v>0</v>
      </c>
      <c r="E4" s="2">
        <f>SUM($D$4:D4)</f>
        <v>0</v>
      </c>
      <c r="F4" s="5">
        <f>IF(D4="","",D4/7)</f>
        <v>0</v>
      </c>
      <c r="G4" s="5">
        <f>E4</f>
        <v>0</v>
      </c>
    </row>
    <row r="5" spans="2:7" x14ac:dyDescent="0.25">
      <c r="B5" s="1">
        <f>B4+7</f>
        <v>44569</v>
      </c>
      <c r="C5" s="2">
        <f ca="1">C4+RANDBETWEEN(20,130)</f>
        <v>1700</v>
      </c>
      <c r="D5" s="2">
        <f t="shared" ref="D5:D19" ca="1" si="0">IF(ISBLANK(C5),"",IF(C5-C4&lt;0,"niepoprawne dane",C5-C4))</f>
        <v>113</v>
      </c>
      <c r="E5" s="2">
        <f t="shared" ref="E5:E56" ca="1" si="1">IF(D5=""," ",E4+D5)</f>
        <v>113</v>
      </c>
      <c r="F5" s="5">
        <f ca="1">IF(D5="","",D5/7)</f>
        <v>16.142857142857142</v>
      </c>
      <c r="G5" s="5">
        <f t="shared" ref="G5:G56" ca="1" si="2">IF(D5=""," ",E5/(B5-$F$2))</f>
        <v>16.142857142857142</v>
      </c>
    </row>
    <row r="6" spans="2:7" x14ac:dyDescent="0.25">
      <c r="B6" s="1">
        <f t="shared" ref="B6:B56" si="3">B5+7</f>
        <v>44576</v>
      </c>
      <c r="C6" s="2">
        <f t="shared" ref="C6:C20" ca="1" si="4">C5+RANDBETWEEN(20,130)</f>
        <v>1760</v>
      </c>
      <c r="D6" s="2">
        <f t="shared" ca="1" si="0"/>
        <v>60</v>
      </c>
      <c r="E6" s="2">
        <f t="shared" ca="1" si="1"/>
        <v>173</v>
      </c>
      <c r="F6" s="5">
        <f t="shared" ref="F6:F20" ca="1" si="5">IF(D6="","",D6/7)</f>
        <v>8.5714285714285712</v>
      </c>
      <c r="G6" s="5">
        <f t="shared" ca="1" si="2"/>
        <v>12.357142857142858</v>
      </c>
    </row>
    <row r="7" spans="2:7" x14ac:dyDescent="0.25">
      <c r="B7" s="1">
        <f t="shared" si="3"/>
        <v>44583</v>
      </c>
      <c r="C7" s="2">
        <f t="shared" ca="1" si="4"/>
        <v>1821</v>
      </c>
      <c r="D7" s="2">
        <f t="shared" ca="1" si="0"/>
        <v>61</v>
      </c>
      <c r="E7" s="2">
        <f t="shared" ca="1" si="1"/>
        <v>234</v>
      </c>
      <c r="F7" s="5">
        <f t="shared" ca="1" si="5"/>
        <v>8.7142857142857135</v>
      </c>
      <c r="G7" s="5">
        <f t="shared" ca="1" si="2"/>
        <v>11.142857142857142</v>
      </c>
    </row>
    <row r="8" spans="2:7" x14ac:dyDescent="0.25">
      <c r="B8" s="1">
        <f t="shared" si="3"/>
        <v>44590</v>
      </c>
      <c r="C8" s="2">
        <f t="shared" ca="1" si="4"/>
        <v>1921</v>
      </c>
      <c r="D8" s="2">
        <f t="shared" ca="1" si="0"/>
        <v>100</v>
      </c>
      <c r="E8" s="2">
        <f t="shared" ca="1" si="1"/>
        <v>334</v>
      </c>
      <c r="F8" s="5">
        <f t="shared" ca="1" si="5"/>
        <v>14.285714285714286</v>
      </c>
      <c r="G8" s="5">
        <f t="shared" ca="1" si="2"/>
        <v>11.928571428571429</v>
      </c>
    </row>
    <row r="9" spans="2:7" x14ac:dyDescent="0.25">
      <c r="B9" s="1">
        <f t="shared" si="3"/>
        <v>44597</v>
      </c>
      <c r="C9" s="2">
        <f t="shared" ca="1" si="4"/>
        <v>1985</v>
      </c>
      <c r="D9" s="2">
        <f t="shared" ca="1" si="0"/>
        <v>64</v>
      </c>
      <c r="E9" s="2">
        <f t="shared" ca="1" si="1"/>
        <v>398</v>
      </c>
      <c r="F9" s="5">
        <f t="shared" ca="1" si="5"/>
        <v>9.1428571428571423</v>
      </c>
      <c r="G9" s="5">
        <f t="shared" ca="1" si="2"/>
        <v>11.371428571428572</v>
      </c>
    </row>
    <row r="10" spans="2:7" x14ac:dyDescent="0.25">
      <c r="B10" s="1">
        <f t="shared" si="3"/>
        <v>44604</v>
      </c>
      <c r="C10" s="2">
        <f t="shared" ca="1" si="4"/>
        <v>2093</v>
      </c>
      <c r="D10" s="2">
        <f t="shared" ca="1" si="0"/>
        <v>108</v>
      </c>
      <c r="E10" s="2">
        <f t="shared" ca="1" si="1"/>
        <v>506</v>
      </c>
      <c r="F10" s="5">
        <f t="shared" ca="1" si="5"/>
        <v>15.428571428571429</v>
      </c>
      <c r="G10" s="5">
        <f t="shared" ca="1" si="2"/>
        <v>12.047619047619047</v>
      </c>
    </row>
    <row r="11" spans="2:7" x14ac:dyDescent="0.25">
      <c r="B11" s="1">
        <f t="shared" si="3"/>
        <v>44611</v>
      </c>
      <c r="C11" s="2">
        <f t="shared" ca="1" si="4"/>
        <v>2181</v>
      </c>
      <c r="D11" s="2">
        <f t="shared" ca="1" si="0"/>
        <v>88</v>
      </c>
      <c r="E11" s="2">
        <f t="shared" ca="1" si="1"/>
        <v>594</v>
      </c>
      <c r="F11" s="5">
        <f t="shared" ca="1" si="5"/>
        <v>12.571428571428571</v>
      </c>
      <c r="G11" s="5">
        <f t="shared" ca="1" si="2"/>
        <v>12.122448979591837</v>
      </c>
    </row>
    <row r="12" spans="2:7" x14ac:dyDescent="0.25">
      <c r="B12" s="1">
        <f t="shared" si="3"/>
        <v>44618</v>
      </c>
      <c r="C12" s="2">
        <f t="shared" ca="1" si="4"/>
        <v>2235</v>
      </c>
      <c r="D12" s="2">
        <f t="shared" ca="1" si="0"/>
        <v>54</v>
      </c>
      <c r="E12" s="2">
        <f t="shared" ca="1" si="1"/>
        <v>648</v>
      </c>
      <c r="F12" s="5">
        <f t="shared" ca="1" si="5"/>
        <v>7.7142857142857144</v>
      </c>
      <c r="G12" s="5">
        <f t="shared" ca="1" si="2"/>
        <v>11.571428571428571</v>
      </c>
    </row>
    <row r="13" spans="2:7" x14ac:dyDescent="0.25">
      <c r="B13" s="1">
        <f t="shared" si="3"/>
        <v>44625</v>
      </c>
      <c r="C13" s="2">
        <f t="shared" ca="1" si="4"/>
        <v>2319</v>
      </c>
      <c r="D13" s="2">
        <f t="shared" ca="1" si="0"/>
        <v>84</v>
      </c>
      <c r="E13" s="2">
        <f t="shared" ca="1" si="1"/>
        <v>732</v>
      </c>
      <c r="F13" s="5">
        <f t="shared" ca="1" si="5"/>
        <v>12</v>
      </c>
      <c r="G13" s="5">
        <f t="shared" ca="1" si="2"/>
        <v>11.619047619047619</v>
      </c>
    </row>
    <row r="14" spans="2:7" x14ac:dyDescent="0.25">
      <c r="B14" s="1">
        <f t="shared" si="3"/>
        <v>44632</v>
      </c>
      <c r="C14" s="2">
        <f t="shared" ca="1" si="4"/>
        <v>2367</v>
      </c>
      <c r="D14" s="2">
        <f t="shared" ca="1" si="0"/>
        <v>48</v>
      </c>
      <c r="E14" s="2">
        <f t="shared" ca="1" si="1"/>
        <v>780</v>
      </c>
      <c r="F14" s="5">
        <f t="shared" ca="1" si="5"/>
        <v>6.8571428571428568</v>
      </c>
      <c r="G14" s="5">
        <f t="shared" ca="1" si="2"/>
        <v>11.142857142857142</v>
      </c>
    </row>
    <row r="15" spans="2:7" x14ac:dyDescent="0.25">
      <c r="B15" s="1">
        <f t="shared" si="3"/>
        <v>44639</v>
      </c>
      <c r="C15" s="2">
        <f t="shared" ca="1" si="4"/>
        <v>2466</v>
      </c>
      <c r="D15" s="2">
        <f t="shared" ca="1" si="0"/>
        <v>99</v>
      </c>
      <c r="E15" s="2">
        <f t="shared" ca="1" si="1"/>
        <v>879</v>
      </c>
      <c r="F15" s="5">
        <f t="shared" ca="1" si="5"/>
        <v>14.142857142857142</v>
      </c>
      <c r="G15" s="5">
        <f t="shared" ca="1" si="2"/>
        <v>11.415584415584416</v>
      </c>
    </row>
    <row r="16" spans="2:7" x14ac:dyDescent="0.25">
      <c r="B16" s="1">
        <f t="shared" si="3"/>
        <v>44646</v>
      </c>
      <c r="C16" s="2">
        <f t="shared" ca="1" si="4"/>
        <v>2523</v>
      </c>
      <c r="D16" s="2">
        <f t="shared" ca="1" si="0"/>
        <v>57</v>
      </c>
      <c r="E16" s="2">
        <f t="shared" ca="1" si="1"/>
        <v>936</v>
      </c>
      <c r="F16" s="5">
        <f t="shared" ca="1" si="5"/>
        <v>8.1428571428571423</v>
      </c>
      <c r="G16" s="5">
        <f t="shared" ca="1" si="2"/>
        <v>11.142857142857142</v>
      </c>
    </row>
    <row r="17" spans="2:7" x14ac:dyDescent="0.25">
      <c r="B17" s="1">
        <f t="shared" si="3"/>
        <v>44653</v>
      </c>
      <c r="C17" s="2">
        <f t="shared" ca="1" si="4"/>
        <v>2634</v>
      </c>
      <c r="D17" s="2">
        <f t="shared" ca="1" si="0"/>
        <v>111</v>
      </c>
      <c r="E17" s="2">
        <f t="shared" ca="1" si="1"/>
        <v>1047</v>
      </c>
      <c r="F17" s="5">
        <f t="shared" ca="1" si="5"/>
        <v>15.857142857142858</v>
      </c>
      <c r="G17" s="5">
        <f t="shared" ca="1" si="2"/>
        <v>11.505494505494505</v>
      </c>
    </row>
    <row r="18" spans="2:7" x14ac:dyDescent="0.25">
      <c r="B18" s="1">
        <f t="shared" si="3"/>
        <v>44660</v>
      </c>
      <c r="C18" s="2">
        <f t="shared" ca="1" si="4"/>
        <v>2657</v>
      </c>
      <c r="D18" s="2">
        <f t="shared" ca="1" si="0"/>
        <v>23</v>
      </c>
      <c r="E18" s="2">
        <f t="shared" ca="1" si="1"/>
        <v>1070</v>
      </c>
      <c r="F18" s="5">
        <f t="shared" ca="1" si="5"/>
        <v>3.2857142857142856</v>
      </c>
      <c r="G18" s="5">
        <f t="shared" ca="1" si="2"/>
        <v>10.918367346938776</v>
      </c>
    </row>
    <row r="19" spans="2:7" x14ac:dyDescent="0.25">
      <c r="B19" s="1">
        <f t="shared" si="3"/>
        <v>44667</v>
      </c>
      <c r="C19" s="2">
        <f t="shared" ca="1" si="4"/>
        <v>2692</v>
      </c>
      <c r="D19" s="2">
        <f t="shared" ca="1" si="0"/>
        <v>35</v>
      </c>
      <c r="E19" s="2">
        <f t="shared" ca="1" si="1"/>
        <v>1105</v>
      </c>
      <c r="F19" s="5">
        <f t="shared" ca="1" si="5"/>
        <v>5</v>
      </c>
      <c r="G19" s="5">
        <f t="shared" ca="1" si="2"/>
        <v>10.523809523809524</v>
      </c>
    </row>
    <row r="20" spans="2:7" x14ac:dyDescent="0.25">
      <c r="B20" s="1">
        <f t="shared" si="3"/>
        <v>44674</v>
      </c>
      <c r="C20" s="2">
        <f t="shared" ca="1" si="4"/>
        <v>2792</v>
      </c>
      <c r="D20" s="2">
        <f ca="1">IF(ISBLANK(C20),"",IF(C20-C19&lt;0,"niepoprawne dane",C20-C19))</f>
        <v>100</v>
      </c>
      <c r="E20" s="2">
        <f t="shared" ca="1" si="1"/>
        <v>1205</v>
      </c>
      <c r="F20" s="5">
        <f t="shared" ca="1" si="5"/>
        <v>14.285714285714286</v>
      </c>
      <c r="G20" s="5">
        <f ca="1">IF(D20=""," ",E20/(B20-$F$2))</f>
        <v>10.758928571428571</v>
      </c>
    </row>
    <row r="21" spans="2:7" x14ac:dyDescent="0.25">
      <c r="B21" s="1">
        <f t="shared" si="3"/>
        <v>44681</v>
      </c>
      <c r="C21" s="2"/>
      <c r="D21" s="2" t="str">
        <f>IF(ISBLANK(C21),"",IF(C21-C20&lt;0,"niepoprawne dane",C21-C20))</f>
        <v/>
      </c>
      <c r="E21" s="2" t="str">
        <f t="shared" si="1"/>
        <v xml:space="preserve"> </v>
      </c>
      <c r="F21" s="5" t="str">
        <f>IF(D21="","",D21/7)</f>
        <v/>
      </c>
      <c r="G21" s="5" t="str">
        <f t="shared" si="2"/>
        <v xml:space="preserve"> </v>
      </c>
    </row>
    <row r="22" spans="2:7" x14ac:dyDescent="0.25">
      <c r="B22" s="1">
        <f t="shared" si="3"/>
        <v>44688</v>
      </c>
      <c r="C22" s="2"/>
      <c r="D22" s="2" t="str">
        <f t="shared" ref="D22:D56" si="6">IF(ISBLANK(C22),"",IF(C22-C21&lt;0,"niepoprawne dane",C22-C21))</f>
        <v/>
      </c>
      <c r="E22" s="2" t="str">
        <f t="shared" si="1"/>
        <v xml:space="preserve"> </v>
      </c>
      <c r="F22" s="5" t="str">
        <f t="shared" ref="F22:F56" si="7">IF(D22="","",D22/7)</f>
        <v/>
      </c>
      <c r="G22" s="5" t="str">
        <f t="shared" si="2"/>
        <v xml:space="preserve"> </v>
      </c>
    </row>
    <row r="23" spans="2:7" x14ac:dyDescent="0.25">
      <c r="B23" s="1">
        <f t="shared" si="3"/>
        <v>44695</v>
      </c>
      <c r="C23" s="2"/>
      <c r="D23" s="2" t="str">
        <f t="shared" si="6"/>
        <v/>
      </c>
      <c r="E23" s="2" t="str">
        <f t="shared" si="1"/>
        <v xml:space="preserve"> </v>
      </c>
      <c r="F23" s="5" t="str">
        <f t="shared" si="7"/>
        <v/>
      </c>
      <c r="G23" s="5" t="str">
        <f t="shared" si="2"/>
        <v xml:space="preserve"> </v>
      </c>
    </row>
    <row r="24" spans="2:7" x14ac:dyDescent="0.25">
      <c r="B24" s="1">
        <f t="shared" si="3"/>
        <v>44702</v>
      </c>
      <c r="C24" s="2"/>
      <c r="D24" s="2" t="str">
        <f t="shared" si="6"/>
        <v/>
      </c>
      <c r="E24" s="2" t="str">
        <f t="shared" si="1"/>
        <v xml:space="preserve"> </v>
      </c>
      <c r="F24" s="5" t="str">
        <f t="shared" si="7"/>
        <v/>
      </c>
      <c r="G24" s="5" t="str">
        <f t="shared" si="2"/>
        <v xml:space="preserve"> </v>
      </c>
    </row>
    <row r="25" spans="2:7" x14ac:dyDescent="0.25">
      <c r="B25" s="1">
        <f t="shared" si="3"/>
        <v>44709</v>
      </c>
      <c r="C25" s="2"/>
      <c r="D25" s="2" t="str">
        <f t="shared" si="6"/>
        <v/>
      </c>
      <c r="E25" s="2" t="str">
        <f t="shared" si="1"/>
        <v xml:space="preserve"> </v>
      </c>
      <c r="F25" s="5" t="str">
        <f t="shared" si="7"/>
        <v/>
      </c>
      <c r="G25" s="5" t="str">
        <f t="shared" si="2"/>
        <v xml:space="preserve"> </v>
      </c>
    </row>
    <row r="26" spans="2:7" x14ac:dyDescent="0.25">
      <c r="B26" s="1">
        <f t="shared" si="3"/>
        <v>44716</v>
      </c>
      <c r="C26" s="2"/>
      <c r="D26" s="2" t="str">
        <f t="shared" si="6"/>
        <v/>
      </c>
      <c r="E26" s="2" t="str">
        <f t="shared" si="1"/>
        <v xml:space="preserve"> </v>
      </c>
      <c r="F26" s="5" t="str">
        <f t="shared" si="7"/>
        <v/>
      </c>
      <c r="G26" s="5" t="str">
        <f t="shared" si="2"/>
        <v xml:space="preserve"> </v>
      </c>
    </row>
    <row r="27" spans="2:7" x14ac:dyDescent="0.25">
      <c r="B27" s="1">
        <f t="shared" si="3"/>
        <v>44723</v>
      </c>
      <c r="C27" s="2"/>
      <c r="D27" s="2" t="str">
        <f t="shared" si="6"/>
        <v/>
      </c>
      <c r="E27" s="2" t="str">
        <f t="shared" si="1"/>
        <v xml:space="preserve"> </v>
      </c>
      <c r="F27" s="5" t="str">
        <f t="shared" si="7"/>
        <v/>
      </c>
      <c r="G27" s="5" t="str">
        <f t="shared" si="2"/>
        <v xml:space="preserve"> </v>
      </c>
    </row>
    <row r="28" spans="2:7" x14ac:dyDescent="0.25">
      <c r="B28" s="1">
        <f t="shared" si="3"/>
        <v>44730</v>
      </c>
      <c r="C28" s="2"/>
      <c r="D28" s="2" t="str">
        <f t="shared" si="6"/>
        <v/>
      </c>
      <c r="E28" s="2" t="str">
        <f t="shared" si="1"/>
        <v xml:space="preserve"> </v>
      </c>
      <c r="F28" s="5" t="str">
        <f t="shared" si="7"/>
        <v/>
      </c>
      <c r="G28" s="5" t="str">
        <f t="shared" si="2"/>
        <v xml:space="preserve"> </v>
      </c>
    </row>
    <row r="29" spans="2:7" x14ac:dyDescent="0.25">
      <c r="B29" s="1">
        <f t="shared" si="3"/>
        <v>44737</v>
      </c>
      <c r="C29" s="2"/>
      <c r="D29" s="2" t="str">
        <f t="shared" si="6"/>
        <v/>
      </c>
      <c r="E29" s="2" t="str">
        <f t="shared" si="1"/>
        <v xml:space="preserve"> </v>
      </c>
      <c r="F29" s="5" t="str">
        <f t="shared" si="7"/>
        <v/>
      </c>
      <c r="G29" s="5" t="str">
        <f t="shared" si="2"/>
        <v xml:space="preserve"> </v>
      </c>
    </row>
    <row r="30" spans="2:7" x14ac:dyDescent="0.25">
      <c r="B30" s="1">
        <f t="shared" si="3"/>
        <v>44744</v>
      </c>
      <c r="C30" s="2"/>
      <c r="D30" s="2" t="str">
        <f t="shared" si="6"/>
        <v/>
      </c>
      <c r="E30" s="2" t="str">
        <f t="shared" si="1"/>
        <v xml:space="preserve"> </v>
      </c>
      <c r="F30" s="5" t="str">
        <f t="shared" si="7"/>
        <v/>
      </c>
      <c r="G30" s="5" t="str">
        <f t="shared" si="2"/>
        <v xml:space="preserve"> </v>
      </c>
    </row>
    <row r="31" spans="2:7" x14ac:dyDescent="0.25">
      <c r="B31" s="1">
        <f t="shared" si="3"/>
        <v>44751</v>
      </c>
      <c r="C31" s="2"/>
      <c r="D31" s="2" t="str">
        <f t="shared" si="6"/>
        <v/>
      </c>
      <c r="E31" s="2" t="str">
        <f t="shared" si="1"/>
        <v xml:space="preserve"> </v>
      </c>
      <c r="F31" s="5" t="str">
        <f t="shared" si="7"/>
        <v/>
      </c>
      <c r="G31" s="5" t="str">
        <f t="shared" si="2"/>
        <v xml:space="preserve"> </v>
      </c>
    </row>
    <row r="32" spans="2:7" x14ac:dyDescent="0.25">
      <c r="B32" s="1">
        <f t="shared" si="3"/>
        <v>44758</v>
      </c>
      <c r="C32" s="2"/>
      <c r="D32" s="2" t="str">
        <f t="shared" si="6"/>
        <v/>
      </c>
      <c r="E32" s="2" t="str">
        <f t="shared" si="1"/>
        <v xml:space="preserve"> </v>
      </c>
      <c r="F32" s="5" t="str">
        <f t="shared" si="7"/>
        <v/>
      </c>
      <c r="G32" s="5" t="str">
        <f t="shared" si="2"/>
        <v xml:space="preserve"> </v>
      </c>
    </row>
    <row r="33" spans="2:7" x14ac:dyDescent="0.25">
      <c r="B33" s="1">
        <f t="shared" si="3"/>
        <v>44765</v>
      </c>
      <c r="C33" s="2"/>
      <c r="D33" s="2" t="str">
        <f t="shared" si="6"/>
        <v/>
      </c>
      <c r="E33" s="2" t="str">
        <f t="shared" si="1"/>
        <v xml:space="preserve"> </v>
      </c>
      <c r="F33" s="5" t="str">
        <f t="shared" si="7"/>
        <v/>
      </c>
      <c r="G33" s="5" t="str">
        <f t="shared" si="2"/>
        <v xml:space="preserve"> </v>
      </c>
    </row>
    <row r="34" spans="2:7" x14ac:dyDescent="0.25">
      <c r="B34" s="1">
        <f t="shared" si="3"/>
        <v>44772</v>
      </c>
      <c r="C34" s="2"/>
      <c r="D34" s="2" t="str">
        <f t="shared" si="6"/>
        <v/>
      </c>
      <c r="E34" s="2" t="str">
        <f t="shared" si="1"/>
        <v xml:space="preserve"> </v>
      </c>
      <c r="F34" s="5" t="str">
        <f t="shared" si="7"/>
        <v/>
      </c>
      <c r="G34" s="5" t="str">
        <f t="shared" si="2"/>
        <v xml:space="preserve"> </v>
      </c>
    </row>
    <row r="35" spans="2:7" x14ac:dyDescent="0.25">
      <c r="B35" s="1">
        <f t="shared" si="3"/>
        <v>44779</v>
      </c>
      <c r="C35" s="2"/>
      <c r="D35" s="2" t="str">
        <f t="shared" si="6"/>
        <v/>
      </c>
      <c r="E35" s="2" t="str">
        <f t="shared" si="1"/>
        <v xml:space="preserve"> </v>
      </c>
      <c r="F35" s="5" t="str">
        <f t="shared" si="7"/>
        <v/>
      </c>
      <c r="G35" s="5" t="str">
        <f t="shared" si="2"/>
        <v xml:space="preserve"> </v>
      </c>
    </row>
    <row r="36" spans="2:7" x14ac:dyDescent="0.25">
      <c r="B36" s="1">
        <f t="shared" si="3"/>
        <v>44786</v>
      </c>
      <c r="C36" s="2"/>
      <c r="D36" s="2" t="str">
        <f t="shared" si="6"/>
        <v/>
      </c>
      <c r="E36" s="2" t="str">
        <f t="shared" si="1"/>
        <v xml:space="preserve"> </v>
      </c>
      <c r="F36" s="5" t="str">
        <f t="shared" si="7"/>
        <v/>
      </c>
      <c r="G36" s="5" t="str">
        <f t="shared" si="2"/>
        <v xml:space="preserve"> </v>
      </c>
    </row>
    <row r="37" spans="2:7" x14ac:dyDescent="0.25">
      <c r="B37" s="1">
        <f t="shared" si="3"/>
        <v>44793</v>
      </c>
      <c r="C37" s="2"/>
      <c r="D37" s="2" t="str">
        <f t="shared" si="6"/>
        <v/>
      </c>
      <c r="E37" s="2" t="str">
        <f t="shared" si="1"/>
        <v xml:space="preserve"> </v>
      </c>
      <c r="F37" s="5" t="str">
        <f t="shared" si="7"/>
        <v/>
      </c>
      <c r="G37" s="5" t="str">
        <f t="shared" si="2"/>
        <v xml:space="preserve"> </v>
      </c>
    </row>
    <row r="38" spans="2:7" x14ac:dyDescent="0.25">
      <c r="B38" s="1">
        <f t="shared" si="3"/>
        <v>44800</v>
      </c>
      <c r="C38" s="2"/>
      <c r="D38" s="2" t="str">
        <f t="shared" si="6"/>
        <v/>
      </c>
      <c r="E38" s="2" t="str">
        <f t="shared" si="1"/>
        <v xml:space="preserve"> </v>
      </c>
      <c r="F38" s="5" t="str">
        <f t="shared" si="7"/>
        <v/>
      </c>
      <c r="G38" s="5" t="str">
        <f t="shared" si="2"/>
        <v xml:space="preserve"> </v>
      </c>
    </row>
    <row r="39" spans="2:7" x14ac:dyDescent="0.25">
      <c r="B39" s="1">
        <f t="shared" si="3"/>
        <v>44807</v>
      </c>
      <c r="C39" s="2"/>
      <c r="D39" s="2" t="str">
        <f t="shared" si="6"/>
        <v/>
      </c>
      <c r="E39" s="2" t="str">
        <f t="shared" si="1"/>
        <v xml:space="preserve"> </v>
      </c>
      <c r="F39" s="5" t="str">
        <f t="shared" si="7"/>
        <v/>
      </c>
      <c r="G39" s="5" t="str">
        <f t="shared" si="2"/>
        <v xml:space="preserve"> </v>
      </c>
    </row>
    <row r="40" spans="2:7" x14ac:dyDescent="0.25">
      <c r="B40" s="1">
        <f t="shared" si="3"/>
        <v>44814</v>
      </c>
      <c r="C40" s="2"/>
      <c r="D40" s="2" t="str">
        <f t="shared" si="6"/>
        <v/>
      </c>
      <c r="E40" s="2" t="str">
        <f t="shared" si="1"/>
        <v xml:space="preserve"> </v>
      </c>
      <c r="F40" s="5" t="str">
        <f t="shared" si="7"/>
        <v/>
      </c>
      <c r="G40" s="5" t="str">
        <f t="shared" si="2"/>
        <v xml:space="preserve"> </v>
      </c>
    </row>
    <row r="41" spans="2:7" x14ac:dyDescent="0.25">
      <c r="B41" s="1">
        <f t="shared" si="3"/>
        <v>44821</v>
      </c>
      <c r="C41" s="2"/>
      <c r="D41" s="2" t="str">
        <f t="shared" si="6"/>
        <v/>
      </c>
      <c r="E41" s="2" t="str">
        <f t="shared" si="1"/>
        <v xml:space="preserve"> </v>
      </c>
      <c r="F41" s="5" t="str">
        <f t="shared" si="7"/>
        <v/>
      </c>
      <c r="G41" s="5" t="str">
        <f t="shared" si="2"/>
        <v xml:space="preserve"> </v>
      </c>
    </row>
    <row r="42" spans="2:7" x14ac:dyDescent="0.25">
      <c r="B42" s="1">
        <f t="shared" si="3"/>
        <v>44828</v>
      </c>
      <c r="C42" s="2"/>
      <c r="D42" s="2" t="str">
        <f t="shared" si="6"/>
        <v/>
      </c>
      <c r="E42" s="2" t="str">
        <f t="shared" si="1"/>
        <v xml:space="preserve"> </v>
      </c>
      <c r="F42" s="5" t="str">
        <f t="shared" si="7"/>
        <v/>
      </c>
      <c r="G42" s="5" t="str">
        <f t="shared" si="2"/>
        <v xml:space="preserve"> </v>
      </c>
    </row>
    <row r="43" spans="2:7" x14ac:dyDescent="0.25">
      <c r="B43" s="1">
        <f t="shared" si="3"/>
        <v>44835</v>
      </c>
      <c r="C43" s="2"/>
      <c r="D43" s="2" t="str">
        <f t="shared" si="6"/>
        <v/>
      </c>
      <c r="E43" s="2" t="str">
        <f t="shared" si="1"/>
        <v xml:space="preserve"> </v>
      </c>
      <c r="F43" s="5" t="str">
        <f t="shared" si="7"/>
        <v/>
      </c>
      <c r="G43" s="5" t="str">
        <f t="shared" si="2"/>
        <v xml:space="preserve"> </v>
      </c>
    </row>
    <row r="44" spans="2:7" x14ac:dyDescent="0.25">
      <c r="B44" s="1">
        <f t="shared" si="3"/>
        <v>44842</v>
      </c>
      <c r="C44" s="2"/>
      <c r="D44" s="2" t="str">
        <f t="shared" si="6"/>
        <v/>
      </c>
      <c r="E44" s="2" t="str">
        <f t="shared" si="1"/>
        <v xml:space="preserve"> </v>
      </c>
      <c r="F44" s="5" t="str">
        <f t="shared" si="7"/>
        <v/>
      </c>
      <c r="G44" s="5" t="str">
        <f t="shared" si="2"/>
        <v xml:space="preserve"> </v>
      </c>
    </row>
    <row r="45" spans="2:7" x14ac:dyDescent="0.25">
      <c r="B45" s="1">
        <f t="shared" si="3"/>
        <v>44849</v>
      </c>
      <c r="C45" s="2"/>
      <c r="D45" s="2" t="str">
        <f t="shared" si="6"/>
        <v/>
      </c>
      <c r="E45" s="2" t="str">
        <f t="shared" si="1"/>
        <v xml:space="preserve"> </v>
      </c>
      <c r="F45" s="5" t="str">
        <f t="shared" si="7"/>
        <v/>
      </c>
      <c r="G45" s="5" t="str">
        <f t="shared" si="2"/>
        <v xml:space="preserve"> </v>
      </c>
    </row>
    <row r="46" spans="2:7" x14ac:dyDescent="0.25">
      <c r="B46" s="1">
        <f t="shared" si="3"/>
        <v>44856</v>
      </c>
      <c r="C46" s="2"/>
      <c r="D46" s="2" t="str">
        <f t="shared" si="6"/>
        <v/>
      </c>
      <c r="E46" s="2" t="str">
        <f t="shared" si="1"/>
        <v xml:space="preserve"> </v>
      </c>
      <c r="F46" s="5" t="str">
        <f t="shared" si="7"/>
        <v/>
      </c>
      <c r="G46" s="5" t="str">
        <f t="shared" si="2"/>
        <v xml:space="preserve"> </v>
      </c>
    </row>
    <row r="47" spans="2:7" x14ac:dyDescent="0.25">
      <c r="B47" s="1">
        <f t="shared" si="3"/>
        <v>44863</v>
      </c>
      <c r="C47" s="2"/>
      <c r="D47" s="2" t="str">
        <f t="shared" si="6"/>
        <v/>
      </c>
      <c r="E47" s="2" t="str">
        <f t="shared" si="1"/>
        <v xml:space="preserve"> </v>
      </c>
      <c r="F47" s="5" t="str">
        <f t="shared" si="7"/>
        <v/>
      </c>
      <c r="G47" s="5" t="str">
        <f t="shared" si="2"/>
        <v xml:space="preserve"> </v>
      </c>
    </row>
    <row r="48" spans="2:7" x14ac:dyDescent="0.25">
      <c r="B48" s="1">
        <f t="shared" si="3"/>
        <v>44870</v>
      </c>
      <c r="C48" s="2"/>
      <c r="D48" s="2" t="str">
        <f t="shared" si="6"/>
        <v/>
      </c>
      <c r="E48" s="2" t="str">
        <f t="shared" si="1"/>
        <v xml:space="preserve"> </v>
      </c>
      <c r="F48" s="5" t="str">
        <f t="shared" si="7"/>
        <v/>
      </c>
      <c r="G48" s="5" t="str">
        <f t="shared" si="2"/>
        <v xml:space="preserve"> </v>
      </c>
    </row>
    <row r="49" spans="2:7" x14ac:dyDescent="0.25">
      <c r="B49" s="1">
        <f t="shared" si="3"/>
        <v>44877</v>
      </c>
      <c r="C49" s="2"/>
      <c r="D49" s="2" t="str">
        <f t="shared" si="6"/>
        <v/>
      </c>
      <c r="E49" s="2" t="str">
        <f t="shared" si="1"/>
        <v xml:space="preserve"> </v>
      </c>
      <c r="F49" s="5" t="str">
        <f t="shared" si="7"/>
        <v/>
      </c>
      <c r="G49" s="5" t="str">
        <f t="shared" si="2"/>
        <v xml:space="preserve"> </v>
      </c>
    </row>
    <row r="50" spans="2:7" x14ac:dyDescent="0.25">
      <c r="B50" s="1">
        <f t="shared" si="3"/>
        <v>44884</v>
      </c>
      <c r="C50" s="2"/>
      <c r="D50" s="2" t="str">
        <f t="shared" si="6"/>
        <v/>
      </c>
      <c r="E50" s="2" t="str">
        <f t="shared" si="1"/>
        <v xml:space="preserve"> </v>
      </c>
      <c r="F50" s="5" t="str">
        <f t="shared" si="7"/>
        <v/>
      </c>
      <c r="G50" s="5" t="str">
        <f t="shared" si="2"/>
        <v xml:space="preserve"> </v>
      </c>
    </row>
    <row r="51" spans="2:7" x14ac:dyDescent="0.25">
      <c r="B51" s="1">
        <f t="shared" si="3"/>
        <v>44891</v>
      </c>
      <c r="C51" s="2"/>
      <c r="D51" s="2" t="str">
        <f t="shared" si="6"/>
        <v/>
      </c>
      <c r="E51" s="2" t="str">
        <f t="shared" si="1"/>
        <v xml:space="preserve"> </v>
      </c>
      <c r="F51" s="5" t="str">
        <f t="shared" si="7"/>
        <v/>
      </c>
      <c r="G51" s="5" t="str">
        <f t="shared" si="2"/>
        <v xml:space="preserve"> </v>
      </c>
    </row>
    <row r="52" spans="2:7" x14ac:dyDescent="0.25">
      <c r="B52" s="1">
        <f t="shared" si="3"/>
        <v>44898</v>
      </c>
      <c r="C52" s="2"/>
      <c r="D52" s="2" t="str">
        <f t="shared" si="6"/>
        <v/>
      </c>
      <c r="E52" s="2" t="str">
        <f t="shared" si="1"/>
        <v xml:space="preserve"> </v>
      </c>
      <c r="F52" s="5" t="str">
        <f t="shared" si="7"/>
        <v/>
      </c>
      <c r="G52" s="5" t="str">
        <f t="shared" si="2"/>
        <v xml:space="preserve"> </v>
      </c>
    </row>
    <row r="53" spans="2:7" x14ac:dyDescent="0.25">
      <c r="B53" s="1">
        <f t="shared" si="3"/>
        <v>44905</v>
      </c>
      <c r="C53" s="2"/>
      <c r="D53" s="2" t="str">
        <f t="shared" si="6"/>
        <v/>
      </c>
      <c r="E53" s="2" t="str">
        <f t="shared" si="1"/>
        <v xml:space="preserve"> </v>
      </c>
      <c r="F53" s="5" t="str">
        <f t="shared" si="7"/>
        <v/>
      </c>
      <c r="G53" s="5" t="str">
        <f t="shared" si="2"/>
        <v xml:space="preserve"> </v>
      </c>
    </row>
    <row r="54" spans="2:7" x14ac:dyDescent="0.25">
      <c r="B54" s="1">
        <f t="shared" si="3"/>
        <v>44912</v>
      </c>
      <c r="C54" s="2"/>
      <c r="D54" s="2" t="str">
        <f t="shared" si="6"/>
        <v/>
      </c>
      <c r="E54" s="2" t="str">
        <f t="shared" si="1"/>
        <v xml:space="preserve"> </v>
      </c>
      <c r="F54" s="5" t="str">
        <f t="shared" si="7"/>
        <v/>
      </c>
      <c r="G54" s="5" t="str">
        <f t="shared" si="2"/>
        <v xml:space="preserve"> </v>
      </c>
    </row>
    <row r="55" spans="2:7" x14ac:dyDescent="0.25">
      <c r="B55" s="1">
        <f t="shared" si="3"/>
        <v>44919</v>
      </c>
      <c r="C55" s="2"/>
      <c r="D55" s="2" t="str">
        <f t="shared" si="6"/>
        <v/>
      </c>
      <c r="E55" s="2" t="str">
        <f t="shared" si="1"/>
        <v xml:space="preserve"> </v>
      </c>
      <c r="F55" s="5" t="str">
        <f t="shared" si="7"/>
        <v/>
      </c>
      <c r="G55" s="5" t="str">
        <f t="shared" si="2"/>
        <v xml:space="preserve"> </v>
      </c>
    </row>
    <row r="56" spans="2:7" x14ac:dyDescent="0.25">
      <c r="B56" s="1">
        <f t="shared" si="3"/>
        <v>44926</v>
      </c>
      <c r="C56" s="2"/>
      <c r="D56" s="2" t="str">
        <f t="shared" si="6"/>
        <v/>
      </c>
      <c r="E56" s="2" t="str">
        <f t="shared" si="1"/>
        <v xml:space="preserve"> </v>
      </c>
      <c r="F56" s="5" t="str">
        <f t="shared" si="7"/>
        <v/>
      </c>
      <c r="G56" s="5" t="str">
        <f t="shared" si="2"/>
        <v xml:space="preserve">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22" sqref="I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Menu</vt:lpstr>
      <vt:lpstr>Tabela Prąd</vt:lpstr>
      <vt:lpstr>Tabela Gaz</vt:lpstr>
      <vt:lpstr>Wykresy Prąd</vt:lpstr>
      <vt:lpstr>Wykresy Gaz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2022-10-18T08:35:08Z</dcterms:modified>
</cp:coreProperties>
</file>