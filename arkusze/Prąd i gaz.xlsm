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trlProps/ctrlProp9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filterPrivacy="1" codeName="Ten_skoroszyt" defaultThemeVersion="124226"/>
  <xr:revisionPtr revIDLastSave="0" documentId="13_ncr:1_{BAF741FE-A2AD-4D52-B5A9-62213EE6B29F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Menu" sheetId="1" r:id="rId1"/>
    <sheet name="Tabela Prąd" sheetId="2" r:id="rId2"/>
    <sheet name="Tabela Gaz" sheetId="3" r:id="rId3"/>
    <sheet name="Wykresy Prąd" sheetId="4" r:id="rId4"/>
    <sheet name="Wykresy Gaz" sheetId="5" r:id="rId5"/>
  </sheets>
  <externalReferences>
    <externalReference r:id="rId6"/>
  </externalReferenc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4" i="3" l="1"/>
  <c r="C5" i="3" s="1"/>
  <c r="D5" i="3" s="1"/>
  <c r="D56" i="3"/>
  <c r="D55" i="3"/>
  <c r="F55" i="3" s="1"/>
  <c r="D54" i="3"/>
  <c r="E53" i="3"/>
  <c r="D53" i="3"/>
  <c r="F53" i="3" s="1"/>
  <c r="D52" i="3"/>
  <c r="D51" i="3"/>
  <c r="F51" i="3" s="1"/>
  <c r="D50" i="3"/>
  <c r="D49" i="3"/>
  <c r="F49" i="3" s="1"/>
  <c r="D48" i="3"/>
  <c r="G47" i="3"/>
  <c r="E47" i="3"/>
  <c r="D47" i="3"/>
  <c r="F47" i="3" s="1"/>
  <c r="D46" i="3"/>
  <c r="D45" i="3"/>
  <c r="F45" i="3" s="1"/>
  <c r="D44" i="3"/>
  <c r="D43" i="3"/>
  <c r="F43" i="3" s="1"/>
  <c r="D42" i="3"/>
  <c r="G41" i="3"/>
  <c r="E41" i="3"/>
  <c r="D41" i="3"/>
  <c r="F41" i="3" s="1"/>
  <c r="D40" i="3"/>
  <c r="D39" i="3"/>
  <c r="F39" i="3" s="1"/>
  <c r="D38" i="3"/>
  <c r="D37" i="3"/>
  <c r="F37" i="3" s="1"/>
  <c r="D36" i="3"/>
  <c r="G35" i="3"/>
  <c r="E35" i="3"/>
  <c r="D35" i="3"/>
  <c r="F35" i="3" s="1"/>
  <c r="D34" i="3"/>
  <c r="D33" i="3"/>
  <c r="F33" i="3" s="1"/>
  <c r="D32" i="3"/>
  <c r="D31" i="3"/>
  <c r="F31" i="3" s="1"/>
  <c r="D30" i="3"/>
  <c r="G29" i="3"/>
  <c r="E29" i="3"/>
  <c r="D29" i="3"/>
  <c r="F29" i="3" s="1"/>
  <c r="D28" i="3"/>
  <c r="D27" i="3"/>
  <c r="F27" i="3" s="1"/>
  <c r="D26" i="3"/>
  <c r="D25" i="3"/>
  <c r="F25" i="3" s="1"/>
  <c r="D24" i="3"/>
  <c r="G23" i="3"/>
  <c r="E23" i="3"/>
  <c r="D23" i="3"/>
  <c r="F23" i="3" s="1"/>
  <c r="D22" i="3"/>
  <c r="D21" i="3"/>
  <c r="F21" i="3" s="1"/>
  <c r="F4" i="3"/>
  <c r="E4" i="3"/>
  <c r="G4" i="3" s="1"/>
  <c r="B4" i="3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E4" i="2"/>
  <c r="G4" i="2" s="1"/>
  <c r="F4" i="2"/>
  <c r="C4" i="2"/>
  <c r="B4" i="2"/>
  <c r="B5" i="2" s="1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E27" i="3" l="1"/>
  <c r="E33" i="3"/>
  <c r="E39" i="3"/>
  <c r="E45" i="3"/>
  <c r="E51" i="3"/>
  <c r="G45" i="3"/>
  <c r="E25" i="3"/>
  <c r="E31" i="3"/>
  <c r="E37" i="3"/>
  <c r="E43" i="3"/>
  <c r="E49" i="3"/>
  <c r="E55" i="3"/>
  <c r="G27" i="3"/>
  <c r="G33" i="3"/>
  <c r="G39" i="3"/>
  <c r="G51" i="3"/>
  <c r="G25" i="3"/>
  <c r="G31" i="3"/>
  <c r="G37" i="3"/>
  <c r="G43" i="3"/>
  <c r="G49" i="3"/>
  <c r="G55" i="3"/>
  <c r="G53" i="3"/>
  <c r="G21" i="3"/>
  <c r="E21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F5" i="3"/>
  <c r="E5" i="3"/>
  <c r="G5" i="3" s="1"/>
  <c r="G22" i="3"/>
  <c r="E22" i="3"/>
  <c r="G24" i="3"/>
  <c r="E24" i="3"/>
  <c r="G26" i="3"/>
  <c r="E26" i="3"/>
  <c r="G28" i="3"/>
  <c r="E28" i="3"/>
  <c r="G30" i="3"/>
  <c r="E30" i="3"/>
  <c r="G32" i="3"/>
  <c r="E32" i="3"/>
  <c r="G34" i="3"/>
  <c r="E34" i="3"/>
  <c r="G36" i="3"/>
  <c r="E36" i="3"/>
  <c r="G38" i="3"/>
  <c r="E38" i="3"/>
  <c r="G40" i="3"/>
  <c r="E40" i="3"/>
  <c r="G42" i="3"/>
  <c r="E42" i="3"/>
  <c r="G44" i="3"/>
  <c r="E44" i="3"/>
  <c r="G46" i="3"/>
  <c r="E46" i="3"/>
  <c r="G48" i="3"/>
  <c r="E48" i="3"/>
  <c r="G50" i="3"/>
  <c r="E50" i="3"/>
  <c r="G52" i="3"/>
  <c r="E52" i="3"/>
  <c r="G54" i="3"/>
  <c r="E54" i="3"/>
  <c r="G56" i="3"/>
  <c r="E56" i="3"/>
  <c r="F22" i="3"/>
  <c r="F24" i="3"/>
  <c r="F26" i="3"/>
  <c r="F28" i="3"/>
  <c r="F30" i="3"/>
  <c r="F32" i="3"/>
  <c r="F34" i="3"/>
  <c r="F36" i="3"/>
  <c r="F38" i="3"/>
  <c r="F40" i="3"/>
  <c r="F42" i="3"/>
  <c r="F44" i="3"/>
  <c r="F46" i="3"/>
  <c r="F48" i="3"/>
  <c r="F50" i="3"/>
  <c r="F52" i="3"/>
  <c r="F54" i="3"/>
  <c r="F56" i="3"/>
  <c r="C5" i="2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D6" i="3" l="1"/>
  <c r="D6" i="2"/>
  <c r="D5" i="2"/>
  <c r="E5" i="2" s="1"/>
  <c r="D21" i="2"/>
  <c r="D7" i="2"/>
  <c r="E21" i="2" l="1"/>
  <c r="G21" i="2"/>
  <c r="D7" i="3"/>
  <c r="F6" i="3"/>
  <c r="E6" i="3"/>
  <c r="G6" i="3" s="1"/>
  <c r="E6" i="2"/>
  <c r="E7" i="2" s="1"/>
  <c r="G7" i="2" s="1"/>
  <c r="G5" i="2"/>
  <c r="F7" i="2"/>
  <c r="F6" i="2"/>
  <c r="F5" i="2"/>
  <c r="F21" i="2"/>
  <c r="D22" i="2"/>
  <c r="D8" i="2"/>
  <c r="E22" i="2" l="1"/>
  <c r="G22" i="2"/>
  <c r="D8" i="3"/>
  <c r="F7" i="3"/>
  <c r="E7" i="3"/>
  <c r="G7" i="3" s="1"/>
  <c r="G6" i="2"/>
  <c r="E8" i="2"/>
  <c r="G8" i="2" s="1"/>
  <c r="F8" i="2"/>
  <c r="D23" i="2"/>
  <c r="F22" i="2"/>
  <c r="D9" i="2"/>
  <c r="E23" i="2" l="1"/>
  <c r="G23" i="2"/>
  <c r="D9" i="3"/>
  <c r="F8" i="3"/>
  <c r="E8" i="3"/>
  <c r="G8" i="3" s="1"/>
  <c r="E9" i="2"/>
  <c r="G9" i="2" s="1"/>
  <c r="F9" i="2"/>
  <c r="D24" i="2"/>
  <c r="F23" i="2"/>
  <c r="D10" i="2"/>
  <c r="E24" i="2" l="1"/>
  <c r="G24" i="2"/>
  <c r="D10" i="3"/>
  <c r="F9" i="3"/>
  <c r="E9" i="3"/>
  <c r="G9" i="3" s="1"/>
  <c r="E10" i="2"/>
  <c r="G10" i="2" s="1"/>
  <c r="F10" i="2"/>
  <c r="D25" i="2"/>
  <c r="F24" i="2"/>
  <c r="D11" i="2"/>
  <c r="G25" i="2" l="1"/>
  <c r="D11" i="3"/>
  <c r="F10" i="3"/>
  <c r="E10" i="3"/>
  <c r="G10" i="3" s="1"/>
  <c r="E11" i="2"/>
  <c r="G11" i="2" s="1"/>
  <c r="F11" i="2"/>
  <c r="D26" i="2"/>
  <c r="F25" i="2"/>
  <c r="D12" i="2"/>
  <c r="G26" i="2" l="1"/>
  <c r="E26" i="2"/>
  <c r="D12" i="3"/>
  <c r="E12" i="2"/>
  <c r="G12" i="2" s="1"/>
  <c r="F11" i="3"/>
  <c r="E11" i="3"/>
  <c r="G11" i="3" s="1"/>
  <c r="F12" i="2"/>
  <c r="D27" i="2"/>
  <c r="F26" i="2"/>
  <c r="D13" i="2"/>
  <c r="E27" i="2" l="1"/>
  <c r="G27" i="2"/>
  <c r="E13" i="2"/>
  <c r="G13" i="2" s="1"/>
  <c r="D13" i="3"/>
  <c r="F12" i="3"/>
  <c r="E12" i="3"/>
  <c r="G12" i="3" s="1"/>
  <c r="F13" i="2"/>
  <c r="D28" i="2"/>
  <c r="F27" i="2"/>
  <c r="D14" i="2"/>
  <c r="E28" i="2" l="1"/>
  <c r="G28" i="2"/>
  <c r="E14" i="2"/>
  <c r="G14" i="2" s="1"/>
  <c r="D14" i="3"/>
  <c r="F13" i="3"/>
  <c r="E13" i="3"/>
  <c r="G13" i="3" s="1"/>
  <c r="F14" i="2"/>
  <c r="D29" i="2"/>
  <c r="F28" i="2"/>
  <c r="D15" i="2"/>
  <c r="E29" i="2" l="1"/>
  <c r="G29" i="2"/>
  <c r="E15" i="2"/>
  <c r="G15" i="2" s="1"/>
  <c r="D15" i="3"/>
  <c r="F14" i="3"/>
  <c r="E14" i="3"/>
  <c r="G14" i="3" s="1"/>
  <c r="F15" i="2"/>
  <c r="D30" i="2"/>
  <c r="F29" i="2"/>
  <c r="D16" i="2"/>
  <c r="G30" i="2" l="1"/>
  <c r="E30" i="2"/>
  <c r="E16" i="2"/>
  <c r="G16" i="2" s="1"/>
  <c r="D16" i="3"/>
  <c r="F15" i="3"/>
  <c r="E15" i="3"/>
  <c r="G15" i="3" s="1"/>
  <c r="F16" i="2"/>
  <c r="D31" i="2"/>
  <c r="F30" i="2"/>
  <c r="D17" i="2"/>
  <c r="E31" i="2" l="1"/>
  <c r="G31" i="2"/>
  <c r="E17" i="2"/>
  <c r="G17" i="2" s="1"/>
  <c r="F16" i="3"/>
  <c r="E16" i="3"/>
  <c r="G16" i="3" s="1"/>
  <c r="D17" i="3"/>
  <c r="F17" i="2"/>
  <c r="D32" i="2"/>
  <c r="F31" i="2"/>
  <c r="G32" i="2" l="1"/>
  <c r="E32" i="2"/>
  <c r="D18" i="3"/>
  <c r="E17" i="3"/>
  <c r="G17" i="3" s="1"/>
  <c r="F17" i="3"/>
  <c r="D33" i="2"/>
  <c r="F32" i="2"/>
  <c r="D18" i="2"/>
  <c r="E18" i="2" s="1"/>
  <c r="E33" i="2" l="1"/>
  <c r="G33" i="2"/>
  <c r="E18" i="3"/>
  <c r="G18" i="3" s="1"/>
  <c r="F18" i="3"/>
  <c r="D20" i="3"/>
  <c r="D19" i="3"/>
  <c r="G18" i="2"/>
  <c r="F18" i="2"/>
  <c r="D34" i="2"/>
  <c r="F33" i="2"/>
  <c r="D19" i="2"/>
  <c r="E19" i="2" s="1"/>
  <c r="D20" i="2"/>
  <c r="E34" i="2" l="1"/>
  <c r="G34" i="2"/>
  <c r="F20" i="3"/>
  <c r="E19" i="3"/>
  <c r="E20" i="3" s="1"/>
  <c r="G20" i="3" s="1"/>
  <c r="F19" i="3"/>
  <c r="E20" i="2"/>
  <c r="G20" i="2" s="1"/>
  <c r="G19" i="2"/>
  <c r="F19" i="2"/>
  <c r="F20" i="2"/>
  <c r="D35" i="2"/>
  <c r="F34" i="2"/>
  <c r="E35" i="2" l="1"/>
  <c r="G35" i="2"/>
  <c r="G19" i="3"/>
  <c r="D36" i="2"/>
  <c r="F35" i="2"/>
  <c r="E36" i="2" l="1"/>
  <c r="G36" i="2"/>
  <c r="D37" i="2"/>
  <c r="F36" i="2"/>
  <c r="E37" i="2" l="1"/>
  <c r="G37" i="2"/>
  <c r="F37" i="2"/>
  <c r="D38" i="2"/>
  <c r="G38" i="2" l="1"/>
  <c r="E38" i="2"/>
  <c r="D39" i="2"/>
  <c r="F38" i="2"/>
  <c r="E39" i="2" l="1"/>
  <c r="G39" i="2"/>
  <c r="F39" i="2"/>
  <c r="D40" i="2"/>
  <c r="E40" i="2" l="1"/>
  <c r="G40" i="2"/>
  <c r="D41" i="2"/>
  <c r="F40" i="2"/>
  <c r="G41" i="2" l="1"/>
  <c r="E41" i="2"/>
  <c r="F41" i="2"/>
  <c r="D42" i="2"/>
  <c r="G42" i="2" l="1"/>
  <c r="E42" i="2"/>
  <c r="D43" i="2"/>
  <c r="F42" i="2"/>
  <c r="E43" i="2" l="1"/>
  <c r="G43" i="2"/>
  <c r="F43" i="2"/>
  <c r="D44" i="2"/>
  <c r="E44" i="2" l="1"/>
  <c r="G44" i="2"/>
  <c r="D45" i="2"/>
  <c r="F44" i="2"/>
  <c r="E45" i="2" l="1"/>
  <c r="G45" i="2"/>
  <c r="F45" i="2"/>
  <c r="D46" i="2"/>
  <c r="E46" i="2" l="1"/>
  <c r="G46" i="2"/>
  <c r="D47" i="2"/>
  <c r="F46" i="2"/>
  <c r="E47" i="2" l="1"/>
  <c r="G47" i="2"/>
  <c r="F47" i="2"/>
  <c r="D48" i="2"/>
  <c r="E48" i="2" l="1"/>
  <c r="G48" i="2"/>
  <c r="D49" i="2"/>
  <c r="F48" i="2"/>
  <c r="E49" i="2" l="1"/>
  <c r="G49" i="2"/>
  <c r="F49" i="2"/>
  <c r="D50" i="2"/>
  <c r="E50" i="2" l="1"/>
  <c r="G50" i="2"/>
  <c r="D51" i="2"/>
  <c r="F50" i="2"/>
  <c r="E51" i="2" l="1"/>
  <c r="G51" i="2"/>
  <c r="F51" i="2"/>
  <c r="D52" i="2"/>
  <c r="E52" i="2" l="1"/>
  <c r="G52" i="2"/>
  <c r="D53" i="2"/>
  <c r="F52" i="2"/>
  <c r="E53" i="2" l="1"/>
  <c r="G53" i="2"/>
  <c r="F53" i="2"/>
  <c r="D54" i="2"/>
  <c r="E54" i="2" l="1"/>
  <c r="G54" i="2"/>
  <c r="D56" i="2"/>
  <c r="D55" i="2"/>
  <c r="F54" i="2"/>
  <c r="E55" i="2" l="1"/>
  <c r="G55" i="2"/>
  <c r="E56" i="2"/>
  <c r="G56" i="2"/>
  <c r="F55" i="2"/>
  <c r="F56" i="2"/>
</calcChain>
</file>

<file path=xl/sharedStrings.xml><?xml version="1.0" encoding="utf-8"?>
<sst xmlns="http://schemas.openxmlformats.org/spreadsheetml/2006/main" count="14" uniqueCount="12">
  <si>
    <t>Pierwszy pomiar</t>
  </si>
  <si>
    <t>Stan licznika [kW/h]</t>
  </si>
  <si>
    <t>Tygodniowe zużycie [kw/h]</t>
  </si>
  <si>
    <t>Łączne zużycie od początku roku [kW/h]</t>
  </si>
  <si>
    <t>Średnie dzienne zużycie w danym tygodniu [kW/h]</t>
  </si>
  <si>
    <t>Średnie dzienne zużycie od początku roku [kW/h]</t>
  </si>
  <si>
    <r>
      <t>Stan licznika [m</t>
    </r>
    <r>
      <rPr>
        <vertAlign val="super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scheme val="minor"/>
      </rPr>
      <t>]</t>
    </r>
  </si>
  <si>
    <r>
      <t>Tygodniowe zużycie [m</t>
    </r>
    <r>
      <rPr>
        <vertAlign val="super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scheme val="minor"/>
      </rPr>
      <t>]</t>
    </r>
  </si>
  <si>
    <r>
      <t>Łączne zużycie od początku roku [m</t>
    </r>
    <r>
      <rPr>
        <vertAlign val="super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scheme val="minor"/>
      </rPr>
      <t>]</t>
    </r>
  </si>
  <si>
    <r>
      <t>Średnie dzienne zużycie w danym tygodniu [m</t>
    </r>
    <r>
      <rPr>
        <vertAlign val="super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scheme val="minor"/>
      </rPr>
      <t>]</t>
    </r>
  </si>
  <si>
    <r>
      <t>Średnie dzienne zużycie od początku roku [m</t>
    </r>
    <r>
      <rPr>
        <vertAlign val="super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scheme val="minor"/>
      </rPr>
      <t>]</t>
    </r>
  </si>
  <si>
    <t>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</si>
</sst>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15]d\ mmmm\ yyyy;@"/>
    <numFmt numFmtId="165" formatCode="d/m/yyyy;@"/>
  </numFmts>
  <fonts count="2" x14ac:knownFonts="1">
    <font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64" fontId="0" fillId="0" borderId="0" xfId="0" applyNumberFormat="1"/>
    <xf numFmtId="3" fontId="0" fillId="0" borderId="0" xfId="0" applyNumberFormat="1"/>
    <xf numFmtId="165" fontId="0" fillId="0" borderId="0" xfId="0" applyNumberFormat="1" applyAlignment="1">
      <alignment horizontal="left" vertical="center" wrapText="1"/>
    </xf>
    <xf numFmtId="0" fontId="0" fillId="0" borderId="0" xfId="0" applyAlignment="1">
      <alignment wrapText="1"/>
    </xf>
    <xf numFmtId="2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</cellXfs>
  <cellStyles count="1">
    <cellStyle name="Normalny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1015855709711658"/>
          <c:y val="0.25883232238626597"/>
          <c:w val="0.81381146106736657"/>
          <c:h val="0.43300707203266259"/>
        </c:manualLayout>
      </c:layout>
      <c:areaChart>
        <c:grouping val="standard"/>
        <c:varyColors val="0"/>
        <c:ser>
          <c:idx val="0"/>
          <c:order val="0"/>
          <c:tx>
            <c:strRef>
              <c:f>'[1]Tabela Prąd'!$F$3</c:f>
              <c:strCache>
                <c:ptCount val="1"/>
                <c:pt idx="0">
                  <c:v>Średnie dzienne zużycie w danym tygodniu [kW/h]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'[1]Tabela Prąd'!$B$4:$B$56</c:f>
              <c:numCache>
                <c:formatCode>General</c:formatCode>
                <c:ptCount val="53"/>
                <c:pt idx="0">
                  <c:v>44562</c:v>
                </c:pt>
                <c:pt idx="1">
                  <c:v>44569</c:v>
                </c:pt>
                <c:pt idx="2">
                  <c:v>44576</c:v>
                </c:pt>
                <c:pt idx="3">
                  <c:v>44583</c:v>
                </c:pt>
                <c:pt idx="4">
                  <c:v>44590</c:v>
                </c:pt>
                <c:pt idx="5">
                  <c:v>44597</c:v>
                </c:pt>
                <c:pt idx="6">
                  <c:v>44604</c:v>
                </c:pt>
                <c:pt idx="7">
                  <c:v>44611</c:v>
                </c:pt>
                <c:pt idx="8">
                  <c:v>44618</c:v>
                </c:pt>
                <c:pt idx="9">
                  <c:v>44625</c:v>
                </c:pt>
                <c:pt idx="10">
                  <c:v>44632</c:v>
                </c:pt>
                <c:pt idx="11">
                  <c:v>44639</c:v>
                </c:pt>
                <c:pt idx="12">
                  <c:v>44646</c:v>
                </c:pt>
                <c:pt idx="13">
                  <c:v>44653</c:v>
                </c:pt>
                <c:pt idx="14">
                  <c:v>44660</c:v>
                </c:pt>
                <c:pt idx="15">
                  <c:v>44667</c:v>
                </c:pt>
                <c:pt idx="16">
                  <c:v>44674</c:v>
                </c:pt>
                <c:pt idx="17">
                  <c:v>44681</c:v>
                </c:pt>
                <c:pt idx="18">
                  <c:v>44688</c:v>
                </c:pt>
                <c:pt idx="19">
                  <c:v>44695</c:v>
                </c:pt>
                <c:pt idx="20">
                  <c:v>44702</c:v>
                </c:pt>
                <c:pt idx="21">
                  <c:v>44709</c:v>
                </c:pt>
                <c:pt idx="22">
                  <c:v>44716</c:v>
                </c:pt>
                <c:pt idx="23">
                  <c:v>44723</c:v>
                </c:pt>
                <c:pt idx="24">
                  <c:v>44730</c:v>
                </c:pt>
                <c:pt idx="25">
                  <c:v>44737</c:v>
                </c:pt>
                <c:pt idx="26">
                  <c:v>44744</c:v>
                </c:pt>
                <c:pt idx="27">
                  <c:v>44751</c:v>
                </c:pt>
                <c:pt idx="28">
                  <c:v>44758</c:v>
                </c:pt>
                <c:pt idx="29">
                  <c:v>44765</c:v>
                </c:pt>
                <c:pt idx="30">
                  <c:v>44772</c:v>
                </c:pt>
                <c:pt idx="31">
                  <c:v>44779</c:v>
                </c:pt>
                <c:pt idx="32">
                  <c:v>44786</c:v>
                </c:pt>
                <c:pt idx="33">
                  <c:v>44793</c:v>
                </c:pt>
                <c:pt idx="34">
                  <c:v>44800</c:v>
                </c:pt>
                <c:pt idx="35">
                  <c:v>44807</c:v>
                </c:pt>
                <c:pt idx="36">
                  <c:v>44814</c:v>
                </c:pt>
                <c:pt idx="37">
                  <c:v>44821</c:v>
                </c:pt>
                <c:pt idx="38">
                  <c:v>44828</c:v>
                </c:pt>
                <c:pt idx="39">
                  <c:v>44835</c:v>
                </c:pt>
                <c:pt idx="40">
                  <c:v>44842</c:v>
                </c:pt>
                <c:pt idx="41">
                  <c:v>44849</c:v>
                </c:pt>
                <c:pt idx="42">
                  <c:v>44856</c:v>
                </c:pt>
                <c:pt idx="43">
                  <c:v>44863</c:v>
                </c:pt>
                <c:pt idx="44">
                  <c:v>44870</c:v>
                </c:pt>
                <c:pt idx="45">
                  <c:v>44877</c:v>
                </c:pt>
                <c:pt idx="46">
                  <c:v>44884</c:v>
                </c:pt>
                <c:pt idx="47">
                  <c:v>44891</c:v>
                </c:pt>
                <c:pt idx="48">
                  <c:v>44898</c:v>
                </c:pt>
                <c:pt idx="49">
                  <c:v>44905</c:v>
                </c:pt>
                <c:pt idx="50">
                  <c:v>44912</c:v>
                </c:pt>
                <c:pt idx="51">
                  <c:v>44919</c:v>
                </c:pt>
                <c:pt idx="52">
                  <c:v>44926</c:v>
                </c:pt>
              </c:numCache>
            </c:numRef>
          </c:cat>
          <c:val>
            <c:numRef>
              <c:f>'[1]Tabela Prąd'!$F$4:$F$56</c:f>
              <c:numCache>
                <c:formatCode>General</c:formatCode>
                <c:ptCount val="53"/>
                <c:pt idx="0">
                  <c:v>0</c:v>
                </c:pt>
                <c:pt idx="1">
                  <c:v>492.28571428571428</c:v>
                </c:pt>
                <c:pt idx="2">
                  <c:v>336.71428571428572</c:v>
                </c:pt>
                <c:pt idx="3">
                  <c:v>566.42857142857144</c:v>
                </c:pt>
                <c:pt idx="4">
                  <c:v>529.71428571428567</c:v>
                </c:pt>
                <c:pt idx="5">
                  <c:v>410.57142857142856</c:v>
                </c:pt>
                <c:pt idx="6">
                  <c:v>191.28571428571428</c:v>
                </c:pt>
                <c:pt idx="7">
                  <c:v>324.14285714285717</c:v>
                </c:pt>
                <c:pt idx="8">
                  <c:v>291.28571428571428</c:v>
                </c:pt>
                <c:pt idx="9">
                  <c:v>539.28571428571433</c:v>
                </c:pt>
                <c:pt idx="10">
                  <c:v>320.85714285714283</c:v>
                </c:pt>
                <c:pt idx="11">
                  <c:v>237.28571428571428</c:v>
                </c:pt>
                <c:pt idx="12">
                  <c:v>203.85714285714286</c:v>
                </c:pt>
                <c:pt idx="13">
                  <c:v>268.71428571428572</c:v>
                </c:pt>
                <c:pt idx="14">
                  <c:v>158.71428571428572</c:v>
                </c:pt>
                <c:pt idx="15">
                  <c:v>410.14285714285717</c:v>
                </c:pt>
                <c:pt idx="16">
                  <c:v>343.14285714285717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59-4A85-991F-75C1DE3BE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753376"/>
        <c:axId val="531752984"/>
      </c:areaChart>
      <c:dateAx>
        <c:axId val="531753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15]d\ mmmm\ yyyy;@" sourceLinked="0"/>
        <c:majorTickMark val="out"/>
        <c:minorTickMark val="cross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31752984"/>
        <c:crosses val="autoZero"/>
        <c:auto val="1"/>
        <c:lblOffset val="100"/>
        <c:baseTimeUnit val="days"/>
        <c:majorTimeUnit val="months"/>
        <c:minorTimeUnit val="months"/>
      </c:dateAx>
      <c:valAx>
        <c:axId val="531752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31753376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10439523000557724"/>
          <c:y val="0.25518435314180632"/>
          <c:w val="0.81381146106736657"/>
          <c:h val="0.43300707203266259"/>
        </c:manualLayout>
      </c:layout>
      <c:areaChart>
        <c:grouping val="standard"/>
        <c:varyColors val="0"/>
        <c:ser>
          <c:idx val="0"/>
          <c:order val="0"/>
          <c:tx>
            <c:strRef>
              <c:f>'[1]Tabela Prąd'!$G$3</c:f>
              <c:strCache>
                <c:ptCount val="1"/>
                <c:pt idx="0">
                  <c:v>Średnie dzienne zużycie od początku roku [kW/h]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'[1]Tabela Prąd'!$B$4:$B$56</c:f>
              <c:numCache>
                <c:formatCode>General</c:formatCode>
                <c:ptCount val="53"/>
                <c:pt idx="0">
                  <c:v>44562</c:v>
                </c:pt>
                <c:pt idx="1">
                  <c:v>44569</c:v>
                </c:pt>
                <c:pt idx="2">
                  <c:v>44576</c:v>
                </c:pt>
                <c:pt idx="3">
                  <c:v>44583</c:v>
                </c:pt>
                <c:pt idx="4">
                  <c:v>44590</c:v>
                </c:pt>
                <c:pt idx="5">
                  <c:v>44597</c:v>
                </c:pt>
                <c:pt idx="6">
                  <c:v>44604</c:v>
                </c:pt>
                <c:pt idx="7">
                  <c:v>44611</c:v>
                </c:pt>
                <c:pt idx="8">
                  <c:v>44618</c:v>
                </c:pt>
                <c:pt idx="9">
                  <c:v>44625</c:v>
                </c:pt>
                <c:pt idx="10">
                  <c:v>44632</c:v>
                </c:pt>
                <c:pt idx="11">
                  <c:v>44639</c:v>
                </c:pt>
                <c:pt idx="12">
                  <c:v>44646</c:v>
                </c:pt>
                <c:pt idx="13">
                  <c:v>44653</c:v>
                </c:pt>
                <c:pt idx="14">
                  <c:v>44660</c:v>
                </c:pt>
                <c:pt idx="15">
                  <c:v>44667</c:v>
                </c:pt>
                <c:pt idx="16">
                  <c:v>44674</c:v>
                </c:pt>
                <c:pt idx="17">
                  <c:v>44681</c:v>
                </c:pt>
                <c:pt idx="18">
                  <c:v>44688</c:v>
                </c:pt>
                <c:pt idx="19">
                  <c:v>44695</c:v>
                </c:pt>
                <c:pt idx="20">
                  <c:v>44702</c:v>
                </c:pt>
                <c:pt idx="21">
                  <c:v>44709</c:v>
                </c:pt>
                <c:pt idx="22">
                  <c:v>44716</c:v>
                </c:pt>
                <c:pt idx="23">
                  <c:v>44723</c:v>
                </c:pt>
                <c:pt idx="24">
                  <c:v>44730</c:v>
                </c:pt>
                <c:pt idx="25">
                  <c:v>44737</c:v>
                </c:pt>
                <c:pt idx="26">
                  <c:v>44744</c:v>
                </c:pt>
                <c:pt idx="27">
                  <c:v>44751</c:v>
                </c:pt>
                <c:pt idx="28">
                  <c:v>44758</c:v>
                </c:pt>
                <c:pt idx="29">
                  <c:v>44765</c:v>
                </c:pt>
                <c:pt idx="30">
                  <c:v>44772</c:v>
                </c:pt>
                <c:pt idx="31">
                  <c:v>44779</c:v>
                </c:pt>
                <c:pt idx="32">
                  <c:v>44786</c:v>
                </c:pt>
                <c:pt idx="33">
                  <c:v>44793</c:v>
                </c:pt>
                <c:pt idx="34">
                  <c:v>44800</c:v>
                </c:pt>
                <c:pt idx="35">
                  <c:v>44807</c:v>
                </c:pt>
                <c:pt idx="36">
                  <c:v>44814</c:v>
                </c:pt>
                <c:pt idx="37">
                  <c:v>44821</c:v>
                </c:pt>
                <c:pt idx="38">
                  <c:v>44828</c:v>
                </c:pt>
                <c:pt idx="39">
                  <c:v>44835</c:v>
                </c:pt>
                <c:pt idx="40">
                  <c:v>44842</c:v>
                </c:pt>
                <c:pt idx="41">
                  <c:v>44849</c:v>
                </c:pt>
                <c:pt idx="42">
                  <c:v>44856</c:v>
                </c:pt>
                <c:pt idx="43">
                  <c:v>44863</c:v>
                </c:pt>
                <c:pt idx="44">
                  <c:v>44870</c:v>
                </c:pt>
                <c:pt idx="45">
                  <c:v>44877</c:v>
                </c:pt>
                <c:pt idx="46">
                  <c:v>44884</c:v>
                </c:pt>
                <c:pt idx="47">
                  <c:v>44891</c:v>
                </c:pt>
                <c:pt idx="48">
                  <c:v>44898</c:v>
                </c:pt>
                <c:pt idx="49">
                  <c:v>44905</c:v>
                </c:pt>
                <c:pt idx="50">
                  <c:v>44912</c:v>
                </c:pt>
                <c:pt idx="51">
                  <c:v>44919</c:v>
                </c:pt>
                <c:pt idx="52">
                  <c:v>44926</c:v>
                </c:pt>
              </c:numCache>
            </c:numRef>
          </c:cat>
          <c:val>
            <c:numRef>
              <c:f>'[1]Tabela Prąd'!$G$4:$G$56</c:f>
              <c:numCache>
                <c:formatCode>General</c:formatCode>
                <c:ptCount val="53"/>
                <c:pt idx="0">
                  <c:v>0</c:v>
                </c:pt>
                <c:pt idx="1">
                  <c:v>492.28571428571428</c:v>
                </c:pt>
                <c:pt idx="2">
                  <c:v>414.5</c:v>
                </c:pt>
                <c:pt idx="3">
                  <c:v>465.14285714285717</c:v>
                </c:pt>
                <c:pt idx="4">
                  <c:v>481.28571428571428</c:v>
                </c:pt>
                <c:pt idx="5">
                  <c:v>467.14285714285717</c:v>
                </c:pt>
                <c:pt idx="6">
                  <c:v>421.16666666666669</c:v>
                </c:pt>
                <c:pt idx="7">
                  <c:v>407.30612244897958</c:v>
                </c:pt>
                <c:pt idx="8">
                  <c:v>392.80357142857144</c:v>
                </c:pt>
                <c:pt idx="9">
                  <c:v>409.07936507936506</c:v>
                </c:pt>
                <c:pt idx="10">
                  <c:v>400.25714285714287</c:v>
                </c:pt>
                <c:pt idx="11">
                  <c:v>385.44155844155841</c:v>
                </c:pt>
                <c:pt idx="12">
                  <c:v>370.3095238095238</c:v>
                </c:pt>
                <c:pt idx="13">
                  <c:v>362.49450549450552</c:v>
                </c:pt>
                <c:pt idx="14">
                  <c:v>347.9387755102041</c:v>
                </c:pt>
                <c:pt idx="15">
                  <c:v>352.08571428571429</c:v>
                </c:pt>
                <c:pt idx="16">
                  <c:v>351.52678571428572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1-4BC0-95A4-29AA321AE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753376"/>
        <c:axId val="531752984"/>
      </c:areaChart>
      <c:dateAx>
        <c:axId val="531753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15]d\ mmmm\ yyyy;@" sourceLinked="0"/>
        <c:majorTickMark val="out"/>
        <c:minorTickMark val="cross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31752984"/>
        <c:crosses val="autoZero"/>
        <c:auto val="1"/>
        <c:lblOffset val="365"/>
        <c:baseTimeUnit val="days"/>
        <c:majorTimeUnit val="months"/>
        <c:minorTimeUnit val="months"/>
      </c:dateAx>
      <c:valAx>
        <c:axId val="531752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31753376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pl-PL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'[1]Tabela Gaz'!$F$3</c:f>
              <c:strCache>
                <c:ptCount val="1"/>
                <c:pt idx="0">
                  <c:v>Średnie dzienne zużycie w danym tygodniu [m3]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'[1]Tabela Gaz'!$B$4:$B$56</c:f>
              <c:numCache>
                <c:formatCode>General</c:formatCode>
                <c:ptCount val="53"/>
                <c:pt idx="0">
                  <c:v>44562</c:v>
                </c:pt>
                <c:pt idx="1">
                  <c:v>44569</c:v>
                </c:pt>
                <c:pt idx="2">
                  <c:v>44576</c:v>
                </c:pt>
                <c:pt idx="3">
                  <c:v>44583</c:v>
                </c:pt>
                <c:pt idx="4">
                  <c:v>44590</c:v>
                </c:pt>
                <c:pt idx="5">
                  <c:v>44597</c:v>
                </c:pt>
                <c:pt idx="6">
                  <c:v>44604</c:v>
                </c:pt>
                <c:pt idx="7">
                  <c:v>44611</c:v>
                </c:pt>
                <c:pt idx="8">
                  <c:v>44618</c:v>
                </c:pt>
                <c:pt idx="9">
                  <c:v>44625</c:v>
                </c:pt>
                <c:pt idx="10">
                  <c:v>44632</c:v>
                </c:pt>
                <c:pt idx="11">
                  <c:v>44639</c:v>
                </c:pt>
                <c:pt idx="12">
                  <c:v>44646</c:v>
                </c:pt>
                <c:pt idx="13">
                  <c:v>44653</c:v>
                </c:pt>
                <c:pt idx="14">
                  <c:v>44660</c:v>
                </c:pt>
                <c:pt idx="15">
                  <c:v>44667</c:v>
                </c:pt>
                <c:pt idx="16">
                  <c:v>44674</c:v>
                </c:pt>
                <c:pt idx="17">
                  <c:v>44681</c:v>
                </c:pt>
                <c:pt idx="18">
                  <c:v>44688</c:v>
                </c:pt>
                <c:pt idx="19">
                  <c:v>44695</c:v>
                </c:pt>
                <c:pt idx="20">
                  <c:v>44702</c:v>
                </c:pt>
                <c:pt idx="21">
                  <c:v>44709</c:v>
                </c:pt>
                <c:pt idx="22">
                  <c:v>44716</c:v>
                </c:pt>
                <c:pt idx="23">
                  <c:v>44723</c:v>
                </c:pt>
                <c:pt idx="24">
                  <c:v>44730</c:v>
                </c:pt>
                <c:pt idx="25">
                  <c:v>44737</c:v>
                </c:pt>
                <c:pt idx="26">
                  <c:v>44744</c:v>
                </c:pt>
                <c:pt idx="27">
                  <c:v>44751</c:v>
                </c:pt>
                <c:pt idx="28">
                  <c:v>44758</c:v>
                </c:pt>
                <c:pt idx="29">
                  <c:v>44765</c:v>
                </c:pt>
                <c:pt idx="30">
                  <c:v>44772</c:v>
                </c:pt>
                <c:pt idx="31">
                  <c:v>44779</c:v>
                </c:pt>
                <c:pt idx="32">
                  <c:v>44786</c:v>
                </c:pt>
                <c:pt idx="33">
                  <c:v>44793</c:v>
                </c:pt>
                <c:pt idx="34">
                  <c:v>44800</c:v>
                </c:pt>
                <c:pt idx="35">
                  <c:v>44807</c:v>
                </c:pt>
                <c:pt idx="36">
                  <c:v>44814</c:v>
                </c:pt>
                <c:pt idx="37">
                  <c:v>44821</c:v>
                </c:pt>
                <c:pt idx="38">
                  <c:v>44828</c:v>
                </c:pt>
                <c:pt idx="39">
                  <c:v>44835</c:v>
                </c:pt>
                <c:pt idx="40">
                  <c:v>44842</c:v>
                </c:pt>
                <c:pt idx="41">
                  <c:v>44849</c:v>
                </c:pt>
                <c:pt idx="42">
                  <c:v>44856</c:v>
                </c:pt>
                <c:pt idx="43">
                  <c:v>44863</c:v>
                </c:pt>
                <c:pt idx="44">
                  <c:v>44870</c:v>
                </c:pt>
                <c:pt idx="45">
                  <c:v>44877</c:v>
                </c:pt>
                <c:pt idx="46">
                  <c:v>44884</c:v>
                </c:pt>
                <c:pt idx="47">
                  <c:v>44891</c:v>
                </c:pt>
                <c:pt idx="48">
                  <c:v>44898</c:v>
                </c:pt>
                <c:pt idx="49">
                  <c:v>44905</c:v>
                </c:pt>
                <c:pt idx="50">
                  <c:v>44912</c:v>
                </c:pt>
                <c:pt idx="51">
                  <c:v>44919</c:v>
                </c:pt>
                <c:pt idx="52">
                  <c:v>44926</c:v>
                </c:pt>
              </c:numCache>
            </c:numRef>
          </c:cat>
          <c:val>
            <c:numRef>
              <c:f>'[1]Tabela Gaz'!$F$4:$F$56</c:f>
              <c:numCache>
                <c:formatCode>General</c:formatCode>
                <c:ptCount val="53"/>
                <c:pt idx="0">
                  <c:v>0</c:v>
                </c:pt>
                <c:pt idx="1">
                  <c:v>3.7142857142857144</c:v>
                </c:pt>
                <c:pt idx="2">
                  <c:v>3.7142857142857144</c:v>
                </c:pt>
                <c:pt idx="3">
                  <c:v>3.4285714285714284</c:v>
                </c:pt>
                <c:pt idx="4">
                  <c:v>7.8571428571428568</c:v>
                </c:pt>
                <c:pt idx="5">
                  <c:v>9</c:v>
                </c:pt>
                <c:pt idx="6">
                  <c:v>7</c:v>
                </c:pt>
                <c:pt idx="7">
                  <c:v>6.1428571428571432</c:v>
                </c:pt>
                <c:pt idx="8">
                  <c:v>12.857142857142858</c:v>
                </c:pt>
                <c:pt idx="9">
                  <c:v>17.428571428571427</c:v>
                </c:pt>
                <c:pt idx="10">
                  <c:v>14.714285714285714</c:v>
                </c:pt>
                <c:pt idx="11">
                  <c:v>16.857142857142858</c:v>
                </c:pt>
                <c:pt idx="12">
                  <c:v>5.8571428571428568</c:v>
                </c:pt>
                <c:pt idx="13">
                  <c:v>15.714285714285714</c:v>
                </c:pt>
                <c:pt idx="14">
                  <c:v>4</c:v>
                </c:pt>
                <c:pt idx="15">
                  <c:v>5.4285714285714288</c:v>
                </c:pt>
                <c:pt idx="16">
                  <c:v>13.285714285714286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66-4A3A-A127-12716B0776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8789247"/>
        <c:axId val="828791743"/>
      </c:areaChart>
      <c:catAx>
        <c:axId val="8287892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28791743"/>
        <c:crosses val="autoZero"/>
        <c:auto val="1"/>
        <c:lblAlgn val="ctr"/>
        <c:lblOffset val="100"/>
        <c:noMultiLvlLbl val="1"/>
      </c:catAx>
      <c:valAx>
        <c:axId val="828791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28789247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pl-PL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'[1]Tabela Gaz'!$G$3</c:f>
              <c:strCache>
                <c:ptCount val="1"/>
                <c:pt idx="0">
                  <c:v>Średnie dzienne zużycie od początku roku [m3]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'[1]Tabela Gaz'!$B$4:$B$56</c:f>
              <c:numCache>
                <c:formatCode>General</c:formatCode>
                <c:ptCount val="53"/>
                <c:pt idx="0">
                  <c:v>44562</c:v>
                </c:pt>
                <c:pt idx="1">
                  <c:v>44569</c:v>
                </c:pt>
                <c:pt idx="2">
                  <c:v>44576</c:v>
                </c:pt>
                <c:pt idx="3">
                  <c:v>44583</c:v>
                </c:pt>
                <c:pt idx="4">
                  <c:v>44590</c:v>
                </c:pt>
                <c:pt idx="5">
                  <c:v>44597</c:v>
                </c:pt>
                <c:pt idx="6">
                  <c:v>44604</c:v>
                </c:pt>
                <c:pt idx="7">
                  <c:v>44611</c:v>
                </c:pt>
                <c:pt idx="8">
                  <c:v>44618</c:v>
                </c:pt>
                <c:pt idx="9">
                  <c:v>44625</c:v>
                </c:pt>
                <c:pt idx="10">
                  <c:v>44632</c:v>
                </c:pt>
                <c:pt idx="11">
                  <c:v>44639</c:v>
                </c:pt>
                <c:pt idx="12">
                  <c:v>44646</c:v>
                </c:pt>
                <c:pt idx="13">
                  <c:v>44653</c:v>
                </c:pt>
                <c:pt idx="14">
                  <c:v>44660</c:v>
                </c:pt>
                <c:pt idx="15">
                  <c:v>44667</c:v>
                </c:pt>
                <c:pt idx="16">
                  <c:v>44674</c:v>
                </c:pt>
                <c:pt idx="17">
                  <c:v>44681</c:v>
                </c:pt>
                <c:pt idx="18">
                  <c:v>44688</c:v>
                </c:pt>
                <c:pt idx="19">
                  <c:v>44695</c:v>
                </c:pt>
                <c:pt idx="20">
                  <c:v>44702</c:v>
                </c:pt>
                <c:pt idx="21">
                  <c:v>44709</c:v>
                </c:pt>
                <c:pt idx="22">
                  <c:v>44716</c:v>
                </c:pt>
                <c:pt idx="23">
                  <c:v>44723</c:v>
                </c:pt>
                <c:pt idx="24">
                  <c:v>44730</c:v>
                </c:pt>
                <c:pt idx="25">
                  <c:v>44737</c:v>
                </c:pt>
                <c:pt idx="26">
                  <c:v>44744</c:v>
                </c:pt>
                <c:pt idx="27">
                  <c:v>44751</c:v>
                </c:pt>
                <c:pt idx="28">
                  <c:v>44758</c:v>
                </c:pt>
                <c:pt idx="29">
                  <c:v>44765</c:v>
                </c:pt>
                <c:pt idx="30">
                  <c:v>44772</c:v>
                </c:pt>
                <c:pt idx="31">
                  <c:v>44779</c:v>
                </c:pt>
                <c:pt idx="32">
                  <c:v>44786</c:v>
                </c:pt>
                <c:pt idx="33">
                  <c:v>44793</c:v>
                </c:pt>
                <c:pt idx="34">
                  <c:v>44800</c:v>
                </c:pt>
                <c:pt idx="35">
                  <c:v>44807</c:v>
                </c:pt>
                <c:pt idx="36">
                  <c:v>44814</c:v>
                </c:pt>
                <c:pt idx="37">
                  <c:v>44821</c:v>
                </c:pt>
                <c:pt idx="38">
                  <c:v>44828</c:v>
                </c:pt>
                <c:pt idx="39">
                  <c:v>44835</c:v>
                </c:pt>
                <c:pt idx="40">
                  <c:v>44842</c:v>
                </c:pt>
                <c:pt idx="41">
                  <c:v>44849</c:v>
                </c:pt>
                <c:pt idx="42">
                  <c:v>44856</c:v>
                </c:pt>
                <c:pt idx="43">
                  <c:v>44863</c:v>
                </c:pt>
                <c:pt idx="44">
                  <c:v>44870</c:v>
                </c:pt>
                <c:pt idx="45">
                  <c:v>44877</c:v>
                </c:pt>
                <c:pt idx="46">
                  <c:v>44884</c:v>
                </c:pt>
                <c:pt idx="47">
                  <c:v>44891</c:v>
                </c:pt>
                <c:pt idx="48">
                  <c:v>44898</c:v>
                </c:pt>
                <c:pt idx="49">
                  <c:v>44905</c:v>
                </c:pt>
                <c:pt idx="50">
                  <c:v>44912</c:v>
                </c:pt>
                <c:pt idx="51">
                  <c:v>44919</c:v>
                </c:pt>
                <c:pt idx="52">
                  <c:v>44926</c:v>
                </c:pt>
              </c:numCache>
            </c:numRef>
          </c:cat>
          <c:val>
            <c:numRef>
              <c:f>'[1]Tabela Gaz'!$G$4:$G$56</c:f>
              <c:numCache>
                <c:formatCode>General</c:formatCode>
                <c:ptCount val="53"/>
                <c:pt idx="0">
                  <c:v>0</c:v>
                </c:pt>
                <c:pt idx="1">
                  <c:v>3.7142857142857144</c:v>
                </c:pt>
                <c:pt idx="2">
                  <c:v>3.7142857142857144</c:v>
                </c:pt>
                <c:pt idx="3">
                  <c:v>3.6190476190476191</c:v>
                </c:pt>
                <c:pt idx="4">
                  <c:v>4.6785714285714288</c:v>
                </c:pt>
                <c:pt idx="5">
                  <c:v>5.5428571428571427</c:v>
                </c:pt>
                <c:pt idx="6">
                  <c:v>5.7857142857142856</c:v>
                </c:pt>
                <c:pt idx="7">
                  <c:v>5.8367346938775508</c:v>
                </c:pt>
                <c:pt idx="8">
                  <c:v>6.7142857142857144</c:v>
                </c:pt>
                <c:pt idx="9">
                  <c:v>7.9047619047619051</c:v>
                </c:pt>
                <c:pt idx="10">
                  <c:v>8.5857142857142854</c:v>
                </c:pt>
                <c:pt idx="11">
                  <c:v>9.3376623376623371</c:v>
                </c:pt>
                <c:pt idx="12">
                  <c:v>9.0476190476190474</c:v>
                </c:pt>
                <c:pt idx="13">
                  <c:v>9.5604395604395602</c:v>
                </c:pt>
                <c:pt idx="14">
                  <c:v>9.1632653061224492</c:v>
                </c:pt>
                <c:pt idx="15">
                  <c:v>8.9142857142857146</c:v>
                </c:pt>
                <c:pt idx="16">
                  <c:v>9.1875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E-4844-A970-CA66CE6B6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8789247"/>
        <c:axId val="828791743"/>
      </c:areaChart>
      <c:catAx>
        <c:axId val="8287892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28791743"/>
        <c:crosses val="autoZero"/>
        <c:auto val="1"/>
        <c:lblAlgn val="ctr"/>
        <c:lblOffset val="100"/>
        <c:noMultiLvlLbl val="1"/>
      </c:catAx>
      <c:valAx>
        <c:axId val="828791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28789247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600075</xdr:colOff>
          <xdr:row>3</xdr:row>
          <xdr:rowOff>104775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950EE1B2-939A-FCD7-5D51-B80757CDB5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142875</xdr:rowOff>
        </xdr:from>
        <xdr:to>
          <xdr:col>2</xdr:col>
          <xdr:colOff>600075</xdr:colOff>
          <xdr:row>7</xdr:row>
          <xdr:rowOff>57150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7590D82E-1F49-3B31-7893-441937C836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Prąd tabela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7</xdr:row>
          <xdr:rowOff>95250</xdr:rowOff>
        </xdr:from>
        <xdr:to>
          <xdr:col>2</xdr:col>
          <xdr:colOff>600075</xdr:colOff>
          <xdr:row>11</xdr:row>
          <xdr:rowOff>9525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25B4CDED-83E7-B4E8-01B3-DA89F5A96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Prąd Wykresy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</xdr:row>
          <xdr:rowOff>28575</xdr:rowOff>
        </xdr:from>
        <xdr:to>
          <xdr:col>2</xdr:col>
          <xdr:colOff>600075</xdr:colOff>
          <xdr:row>14</xdr:row>
          <xdr:rowOff>133350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98A6A453-54CC-B3E6-0C96-62F9688F9B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Gaz Tabla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</xdr:row>
          <xdr:rowOff>161925</xdr:rowOff>
        </xdr:from>
        <xdr:to>
          <xdr:col>2</xdr:col>
          <xdr:colOff>600075</xdr:colOff>
          <xdr:row>18</xdr:row>
          <xdr:rowOff>76200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2601EADE-D39B-0B30-EB78-DC89661D4D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Gaz Wykresy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</xdr:row>
          <xdr:rowOff>9525</xdr:rowOff>
        </xdr:from>
        <xdr:to>
          <xdr:col>10</xdr:col>
          <xdr:colOff>0</xdr:colOff>
          <xdr:row>4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1A68AE04-1D16-8A14-937C-FD3BF8A030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</xdr:row>
          <xdr:rowOff>0</xdr:rowOff>
        </xdr:from>
        <xdr:to>
          <xdr:col>10</xdr:col>
          <xdr:colOff>9525</xdr:colOff>
          <xdr:row>4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C4675498-9C83-3A4B-2ECD-89222E78AE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522610</xdr:colOff>
      <xdr:row>15</xdr:row>
      <xdr:rowOff>25431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DB95B5F6-A471-4691-A2D0-DC32883AFD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15</xdr:row>
      <xdr:rowOff>68292</xdr:rowOff>
    </xdr:from>
    <xdr:to>
      <xdr:col>14</xdr:col>
      <xdr:colOff>526074</xdr:colOff>
      <xdr:row>33</xdr:row>
      <xdr:rowOff>88332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59325EBE-D780-4170-ABD6-1BFD1FBB5E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18</xdr:col>
          <xdr:colOff>0</xdr:colOff>
          <xdr:row>3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171E7493-57A7-3C06-C395-AEF81A568D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485775</xdr:colOff>
      <xdr:row>17</xdr:row>
      <xdr:rowOff>40698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47CED145-2409-44D6-8A38-2770211A57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17</xdr:row>
      <xdr:rowOff>82826</xdr:rowOff>
    </xdr:from>
    <xdr:to>
      <xdr:col>14</xdr:col>
      <xdr:colOff>485775</xdr:colOff>
      <xdr:row>36</xdr:row>
      <xdr:rowOff>101876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94160D37-4D9E-45B4-A4A1-8DA5613C56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0</xdr:row>
          <xdr:rowOff>19050</xdr:rowOff>
        </xdr:from>
        <xdr:to>
          <xdr:col>18</xdr:col>
          <xdr:colOff>28575</xdr:colOff>
          <xdr:row>3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3D053C5-E6E4-2888-A97E-7DD155B684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rkusz%20gdzie%20jest%20jok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Tabela Prąd"/>
      <sheetName val="Tabela Gaz"/>
      <sheetName val="Wykresy prąd"/>
      <sheetName val="Wykresy Gaz"/>
    </sheetNames>
    <sheetDataSet>
      <sheetData sheetId="0"/>
      <sheetData sheetId="1">
        <row r="3">
          <cell r="F3" t="str">
            <v>Średnie dzienne zużycie w danym tygodniu [kW/h]</v>
          </cell>
          <cell r="G3" t="str">
            <v>Średnie dzienne zużycie od początku roku [kW/h]</v>
          </cell>
        </row>
        <row r="4">
          <cell r="B4">
            <v>44562</v>
          </cell>
          <cell r="F4">
            <v>0</v>
          </cell>
          <cell r="G4">
            <v>0</v>
          </cell>
        </row>
        <row r="5">
          <cell r="B5">
            <v>44569</v>
          </cell>
          <cell r="F5">
            <v>492.28571428571428</v>
          </cell>
          <cell r="G5">
            <v>492.28571428571428</v>
          </cell>
        </row>
        <row r="6">
          <cell r="B6">
            <v>44576</v>
          </cell>
          <cell r="F6">
            <v>336.71428571428572</v>
          </cell>
          <cell r="G6">
            <v>414.5</v>
          </cell>
        </row>
        <row r="7">
          <cell r="B7">
            <v>44583</v>
          </cell>
          <cell r="F7">
            <v>566.42857142857144</v>
          </cell>
          <cell r="G7">
            <v>465.14285714285717</v>
          </cell>
        </row>
        <row r="8">
          <cell r="B8">
            <v>44590</v>
          </cell>
          <cell r="F8">
            <v>529.71428571428567</v>
          </cell>
          <cell r="G8">
            <v>481.28571428571428</v>
          </cell>
        </row>
        <row r="9">
          <cell r="B9">
            <v>44597</v>
          </cell>
          <cell r="F9">
            <v>410.57142857142856</v>
          </cell>
          <cell r="G9">
            <v>467.14285714285717</v>
          </cell>
        </row>
        <row r="10">
          <cell r="B10">
            <v>44604</v>
          </cell>
          <cell r="F10">
            <v>191.28571428571428</v>
          </cell>
          <cell r="G10">
            <v>421.16666666666669</v>
          </cell>
        </row>
        <row r="11">
          <cell r="B11">
            <v>44611</v>
          </cell>
          <cell r="F11">
            <v>324.14285714285717</v>
          </cell>
          <cell r="G11">
            <v>407.30612244897958</v>
          </cell>
        </row>
        <row r="12">
          <cell r="B12">
            <v>44618</v>
          </cell>
          <cell r="F12">
            <v>291.28571428571428</v>
          </cell>
          <cell r="G12">
            <v>392.80357142857144</v>
          </cell>
        </row>
        <row r="13">
          <cell r="B13">
            <v>44625</v>
          </cell>
          <cell r="F13">
            <v>539.28571428571433</v>
          </cell>
          <cell r="G13">
            <v>409.07936507936506</v>
          </cell>
        </row>
        <row r="14">
          <cell r="B14">
            <v>44632</v>
          </cell>
          <cell r="F14">
            <v>320.85714285714283</v>
          </cell>
          <cell r="G14">
            <v>400.25714285714287</v>
          </cell>
        </row>
        <row r="15">
          <cell r="B15">
            <v>44639</v>
          </cell>
          <cell r="F15">
            <v>237.28571428571428</v>
          </cell>
          <cell r="G15">
            <v>385.44155844155841</v>
          </cell>
        </row>
        <row r="16">
          <cell r="B16">
            <v>44646</v>
          </cell>
          <cell r="F16">
            <v>203.85714285714286</v>
          </cell>
          <cell r="G16">
            <v>370.3095238095238</v>
          </cell>
        </row>
        <row r="17">
          <cell r="B17">
            <v>44653</v>
          </cell>
          <cell r="F17">
            <v>268.71428571428572</v>
          </cell>
          <cell r="G17">
            <v>362.49450549450552</v>
          </cell>
        </row>
        <row r="18">
          <cell r="B18">
            <v>44660</v>
          </cell>
          <cell r="F18">
            <v>158.71428571428572</v>
          </cell>
          <cell r="G18">
            <v>347.9387755102041</v>
          </cell>
        </row>
        <row r="19">
          <cell r="B19">
            <v>44667</v>
          </cell>
          <cell r="F19">
            <v>410.14285714285717</v>
          </cell>
          <cell r="G19">
            <v>352.08571428571429</v>
          </cell>
        </row>
        <row r="20">
          <cell r="B20">
            <v>44674</v>
          </cell>
          <cell r="F20">
            <v>343.14285714285717</v>
          </cell>
          <cell r="G20">
            <v>351.52678571428572</v>
          </cell>
        </row>
        <row r="21">
          <cell r="B21">
            <v>44681</v>
          </cell>
          <cell r="F21" t="str">
            <v/>
          </cell>
          <cell r="G21" t="str">
            <v xml:space="preserve"> </v>
          </cell>
        </row>
        <row r="22">
          <cell r="B22">
            <v>44688</v>
          </cell>
          <cell r="F22" t="str">
            <v/>
          </cell>
          <cell r="G22" t="str">
            <v xml:space="preserve"> </v>
          </cell>
        </row>
        <row r="23">
          <cell r="B23">
            <v>44695</v>
          </cell>
          <cell r="F23" t="str">
            <v/>
          </cell>
          <cell r="G23" t="str">
            <v xml:space="preserve"> </v>
          </cell>
        </row>
        <row r="24">
          <cell r="B24">
            <v>44702</v>
          </cell>
          <cell r="F24" t="str">
            <v/>
          </cell>
          <cell r="G24" t="str">
            <v xml:space="preserve"> </v>
          </cell>
        </row>
        <row r="25">
          <cell r="B25">
            <v>44709</v>
          </cell>
          <cell r="F25" t="str">
            <v/>
          </cell>
          <cell r="G25" t="str">
            <v xml:space="preserve"> </v>
          </cell>
        </row>
        <row r="26">
          <cell r="B26">
            <v>44716</v>
          </cell>
          <cell r="F26" t="str">
            <v/>
          </cell>
          <cell r="G26" t="str">
            <v xml:space="preserve"> </v>
          </cell>
        </row>
        <row r="27">
          <cell r="B27">
            <v>44723</v>
          </cell>
          <cell r="F27" t="str">
            <v/>
          </cell>
          <cell r="G27" t="str">
            <v xml:space="preserve"> </v>
          </cell>
        </row>
        <row r="28">
          <cell r="B28">
            <v>44730</v>
          </cell>
          <cell r="F28" t="str">
            <v/>
          </cell>
          <cell r="G28" t="str">
            <v xml:space="preserve"> </v>
          </cell>
        </row>
        <row r="29">
          <cell r="B29">
            <v>44737</v>
          </cell>
          <cell r="F29" t="str">
            <v/>
          </cell>
          <cell r="G29" t="str">
            <v xml:space="preserve"> </v>
          </cell>
        </row>
        <row r="30">
          <cell r="B30">
            <v>44744</v>
          </cell>
          <cell r="F30" t="str">
            <v/>
          </cell>
          <cell r="G30" t="str">
            <v xml:space="preserve"> </v>
          </cell>
        </row>
        <row r="31">
          <cell r="B31">
            <v>44751</v>
          </cell>
          <cell r="F31" t="str">
            <v/>
          </cell>
          <cell r="G31" t="str">
            <v xml:space="preserve"> </v>
          </cell>
        </row>
        <row r="32">
          <cell r="B32">
            <v>44758</v>
          </cell>
          <cell r="F32" t="str">
            <v/>
          </cell>
          <cell r="G32" t="str">
            <v xml:space="preserve"> </v>
          </cell>
        </row>
        <row r="33">
          <cell r="B33">
            <v>44765</v>
          </cell>
          <cell r="F33" t="str">
            <v/>
          </cell>
          <cell r="G33" t="str">
            <v xml:space="preserve"> </v>
          </cell>
        </row>
        <row r="34">
          <cell r="B34">
            <v>44772</v>
          </cell>
          <cell r="F34" t="str">
            <v/>
          </cell>
          <cell r="G34" t="str">
            <v xml:space="preserve"> </v>
          </cell>
        </row>
        <row r="35">
          <cell r="B35">
            <v>44779</v>
          </cell>
          <cell r="F35" t="str">
            <v/>
          </cell>
          <cell r="G35" t="str">
            <v xml:space="preserve"> </v>
          </cell>
        </row>
        <row r="36">
          <cell r="B36">
            <v>44786</v>
          </cell>
          <cell r="F36" t="str">
            <v/>
          </cell>
          <cell r="G36" t="str">
            <v xml:space="preserve"> </v>
          </cell>
        </row>
        <row r="37">
          <cell r="B37">
            <v>44793</v>
          </cell>
          <cell r="F37" t="str">
            <v/>
          </cell>
          <cell r="G37" t="str">
            <v xml:space="preserve"> </v>
          </cell>
        </row>
        <row r="38">
          <cell r="B38">
            <v>44800</v>
          </cell>
          <cell r="F38" t="str">
            <v/>
          </cell>
          <cell r="G38" t="str">
            <v xml:space="preserve"> </v>
          </cell>
        </row>
        <row r="39">
          <cell r="B39">
            <v>44807</v>
          </cell>
          <cell r="F39" t="str">
            <v/>
          </cell>
          <cell r="G39" t="str">
            <v xml:space="preserve"> </v>
          </cell>
        </row>
        <row r="40">
          <cell r="B40">
            <v>44814</v>
          </cell>
          <cell r="F40" t="str">
            <v/>
          </cell>
          <cell r="G40" t="str">
            <v xml:space="preserve"> </v>
          </cell>
        </row>
        <row r="41">
          <cell r="B41">
            <v>44821</v>
          </cell>
          <cell r="F41" t="str">
            <v/>
          </cell>
          <cell r="G41" t="str">
            <v xml:space="preserve"> </v>
          </cell>
        </row>
        <row r="42">
          <cell r="B42">
            <v>44828</v>
          </cell>
          <cell r="F42" t="str">
            <v/>
          </cell>
          <cell r="G42" t="str">
            <v xml:space="preserve"> </v>
          </cell>
        </row>
        <row r="43">
          <cell r="B43">
            <v>44835</v>
          </cell>
          <cell r="F43" t="str">
            <v/>
          </cell>
          <cell r="G43" t="str">
            <v xml:space="preserve"> </v>
          </cell>
        </row>
        <row r="44">
          <cell r="B44">
            <v>44842</v>
          </cell>
          <cell r="F44" t="str">
            <v/>
          </cell>
          <cell r="G44" t="str">
            <v xml:space="preserve"> </v>
          </cell>
        </row>
        <row r="45">
          <cell r="B45">
            <v>44849</v>
          </cell>
          <cell r="F45" t="str">
            <v/>
          </cell>
          <cell r="G45" t="str">
            <v xml:space="preserve"> </v>
          </cell>
        </row>
        <row r="46">
          <cell r="B46">
            <v>44856</v>
          </cell>
          <cell r="F46" t="str">
            <v/>
          </cell>
          <cell r="G46" t="str">
            <v xml:space="preserve"> </v>
          </cell>
        </row>
        <row r="47">
          <cell r="B47">
            <v>44863</v>
          </cell>
          <cell r="F47" t="str">
            <v/>
          </cell>
          <cell r="G47" t="str">
            <v xml:space="preserve"> </v>
          </cell>
        </row>
        <row r="48">
          <cell r="B48">
            <v>44870</v>
          </cell>
          <cell r="F48" t="str">
            <v/>
          </cell>
          <cell r="G48" t="str">
            <v xml:space="preserve"> </v>
          </cell>
        </row>
        <row r="49">
          <cell r="B49">
            <v>44877</v>
          </cell>
          <cell r="F49" t="str">
            <v/>
          </cell>
          <cell r="G49" t="str">
            <v xml:space="preserve"> </v>
          </cell>
        </row>
        <row r="50">
          <cell r="B50">
            <v>44884</v>
          </cell>
          <cell r="F50" t="str">
            <v/>
          </cell>
          <cell r="G50" t="str">
            <v xml:space="preserve"> </v>
          </cell>
        </row>
        <row r="51">
          <cell r="B51">
            <v>44891</v>
          </cell>
          <cell r="F51" t="str">
            <v/>
          </cell>
          <cell r="G51" t="str">
            <v xml:space="preserve"> </v>
          </cell>
        </row>
        <row r="52">
          <cell r="B52">
            <v>44898</v>
          </cell>
          <cell r="F52" t="str">
            <v/>
          </cell>
          <cell r="G52" t="str">
            <v xml:space="preserve"> </v>
          </cell>
        </row>
        <row r="53">
          <cell r="B53">
            <v>44905</v>
          </cell>
          <cell r="F53" t="str">
            <v/>
          </cell>
          <cell r="G53" t="str">
            <v xml:space="preserve"> </v>
          </cell>
        </row>
        <row r="54">
          <cell r="B54">
            <v>44912</v>
          </cell>
          <cell r="F54" t="str">
            <v/>
          </cell>
          <cell r="G54" t="str">
            <v xml:space="preserve"> </v>
          </cell>
        </row>
        <row r="55">
          <cell r="B55">
            <v>44919</v>
          </cell>
          <cell r="F55" t="str">
            <v/>
          </cell>
          <cell r="G55" t="str">
            <v xml:space="preserve"> </v>
          </cell>
        </row>
        <row r="56">
          <cell r="B56">
            <v>44926</v>
          </cell>
          <cell r="F56" t="str">
            <v/>
          </cell>
          <cell r="G56" t="str">
            <v xml:space="preserve"> </v>
          </cell>
        </row>
      </sheetData>
      <sheetData sheetId="2">
        <row r="3">
          <cell r="F3" t="str">
            <v>Średnie dzienne zużycie w danym tygodniu [m3]</v>
          </cell>
          <cell r="G3" t="str">
            <v>Średnie dzienne zużycie od początku roku [m3]</v>
          </cell>
        </row>
        <row r="4">
          <cell r="B4">
            <v>44562</v>
          </cell>
          <cell r="F4">
            <v>0</v>
          </cell>
          <cell r="G4">
            <v>0</v>
          </cell>
        </row>
        <row r="5">
          <cell r="B5">
            <v>44569</v>
          </cell>
          <cell r="F5">
            <v>3.7142857142857144</v>
          </cell>
          <cell r="G5">
            <v>3.7142857142857144</v>
          </cell>
        </row>
        <row r="6">
          <cell r="B6">
            <v>44576</v>
          </cell>
          <cell r="F6">
            <v>3.7142857142857144</v>
          </cell>
          <cell r="G6">
            <v>3.7142857142857144</v>
          </cell>
        </row>
        <row r="7">
          <cell r="B7">
            <v>44583</v>
          </cell>
          <cell r="F7">
            <v>3.4285714285714284</v>
          </cell>
          <cell r="G7">
            <v>3.6190476190476191</v>
          </cell>
        </row>
        <row r="8">
          <cell r="B8">
            <v>44590</v>
          </cell>
          <cell r="F8">
            <v>7.8571428571428568</v>
          </cell>
          <cell r="G8">
            <v>4.6785714285714288</v>
          </cell>
        </row>
        <row r="9">
          <cell r="B9">
            <v>44597</v>
          </cell>
          <cell r="F9">
            <v>9</v>
          </cell>
          <cell r="G9">
            <v>5.5428571428571427</v>
          </cell>
        </row>
        <row r="10">
          <cell r="B10">
            <v>44604</v>
          </cell>
          <cell r="F10">
            <v>7</v>
          </cell>
          <cell r="G10">
            <v>5.7857142857142856</v>
          </cell>
        </row>
        <row r="11">
          <cell r="B11">
            <v>44611</v>
          </cell>
          <cell r="F11">
            <v>6.1428571428571432</v>
          </cell>
          <cell r="G11">
            <v>5.8367346938775508</v>
          </cell>
        </row>
        <row r="12">
          <cell r="B12">
            <v>44618</v>
          </cell>
          <cell r="F12">
            <v>12.857142857142858</v>
          </cell>
          <cell r="G12">
            <v>6.7142857142857144</v>
          </cell>
        </row>
        <row r="13">
          <cell r="B13">
            <v>44625</v>
          </cell>
          <cell r="F13">
            <v>17.428571428571427</v>
          </cell>
          <cell r="G13">
            <v>7.9047619047619051</v>
          </cell>
        </row>
        <row r="14">
          <cell r="B14">
            <v>44632</v>
          </cell>
          <cell r="F14">
            <v>14.714285714285714</v>
          </cell>
          <cell r="G14">
            <v>8.5857142857142854</v>
          </cell>
        </row>
        <row r="15">
          <cell r="B15">
            <v>44639</v>
          </cell>
          <cell r="F15">
            <v>16.857142857142858</v>
          </cell>
          <cell r="G15">
            <v>9.3376623376623371</v>
          </cell>
        </row>
        <row r="16">
          <cell r="B16">
            <v>44646</v>
          </cell>
          <cell r="F16">
            <v>5.8571428571428568</v>
          </cell>
          <cell r="G16">
            <v>9.0476190476190474</v>
          </cell>
        </row>
        <row r="17">
          <cell r="B17">
            <v>44653</v>
          </cell>
          <cell r="F17">
            <v>15.714285714285714</v>
          </cell>
          <cell r="G17">
            <v>9.5604395604395602</v>
          </cell>
        </row>
        <row r="18">
          <cell r="B18">
            <v>44660</v>
          </cell>
          <cell r="F18">
            <v>4</v>
          </cell>
          <cell r="G18">
            <v>9.1632653061224492</v>
          </cell>
        </row>
        <row r="19">
          <cell r="B19">
            <v>44667</v>
          </cell>
          <cell r="F19">
            <v>5.4285714285714288</v>
          </cell>
          <cell r="G19">
            <v>8.9142857142857146</v>
          </cell>
        </row>
        <row r="20">
          <cell r="B20">
            <v>44674</v>
          </cell>
          <cell r="F20">
            <v>13.285714285714286</v>
          </cell>
          <cell r="G20">
            <v>9.1875</v>
          </cell>
        </row>
        <row r="21">
          <cell r="B21">
            <v>44681</v>
          </cell>
          <cell r="F21" t="str">
            <v/>
          </cell>
          <cell r="G21" t="str">
            <v xml:space="preserve"> </v>
          </cell>
        </row>
        <row r="22">
          <cell r="B22">
            <v>44688</v>
          </cell>
          <cell r="F22" t="str">
            <v/>
          </cell>
          <cell r="G22" t="str">
            <v xml:space="preserve"> </v>
          </cell>
        </row>
        <row r="23">
          <cell r="B23">
            <v>44695</v>
          </cell>
          <cell r="F23" t="str">
            <v/>
          </cell>
          <cell r="G23" t="str">
            <v xml:space="preserve"> </v>
          </cell>
        </row>
        <row r="24">
          <cell r="B24">
            <v>44702</v>
          </cell>
          <cell r="F24" t="str">
            <v/>
          </cell>
          <cell r="G24" t="str">
            <v xml:space="preserve"> </v>
          </cell>
        </row>
        <row r="25">
          <cell r="B25">
            <v>44709</v>
          </cell>
          <cell r="F25" t="str">
            <v/>
          </cell>
          <cell r="G25" t="str">
            <v xml:space="preserve"> </v>
          </cell>
        </row>
        <row r="26">
          <cell r="B26">
            <v>44716</v>
          </cell>
          <cell r="F26" t="str">
            <v/>
          </cell>
          <cell r="G26" t="str">
            <v xml:space="preserve"> </v>
          </cell>
        </row>
        <row r="27">
          <cell r="B27">
            <v>44723</v>
          </cell>
          <cell r="F27" t="str">
            <v/>
          </cell>
          <cell r="G27" t="str">
            <v xml:space="preserve"> </v>
          </cell>
        </row>
        <row r="28">
          <cell r="B28">
            <v>44730</v>
          </cell>
          <cell r="F28" t="str">
            <v/>
          </cell>
          <cell r="G28" t="str">
            <v xml:space="preserve"> </v>
          </cell>
        </row>
        <row r="29">
          <cell r="B29">
            <v>44737</v>
          </cell>
          <cell r="F29" t="str">
            <v/>
          </cell>
          <cell r="G29" t="str">
            <v xml:space="preserve"> </v>
          </cell>
        </row>
        <row r="30">
          <cell r="B30">
            <v>44744</v>
          </cell>
          <cell r="F30" t="str">
            <v/>
          </cell>
          <cell r="G30" t="str">
            <v xml:space="preserve"> </v>
          </cell>
        </row>
        <row r="31">
          <cell r="B31">
            <v>44751</v>
          </cell>
          <cell r="F31" t="str">
            <v/>
          </cell>
          <cell r="G31" t="str">
            <v xml:space="preserve"> </v>
          </cell>
        </row>
        <row r="32">
          <cell r="B32">
            <v>44758</v>
          </cell>
          <cell r="F32" t="str">
            <v/>
          </cell>
          <cell r="G32" t="str">
            <v xml:space="preserve"> </v>
          </cell>
        </row>
        <row r="33">
          <cell r="B33">
            <v>44765</v>
          </cell>
          <cell r="F33" t="str">
            <v/>
          </cell>
          <cell r="G33" t="str">
            <v xml:space="preserve"> </v>
          </cell>
        </row>
        <row r="34">
          <cell r="B34">
            <v>44772</v>
          </cell>
          <cell r="F34" t="str">
            <v/>
          </cell>
          <cell r="G34" t="str">
            <v xml:space="preserve"> </v>
          </cell>
        </row>
        <row r="35">
          <cell r="B35">
            <v>44779</v>
          </cell>
          <cell r="F35" t="str">
            <v/>
          </cell>
          <cell r="G35" t="str">
            <v xml:space="preserve"> </v>
          </cell>
        </row>
        <row r="36">
          <cell r="B36">
            <v>44786</v>
          </cell>
          <cell r="F36" t="str">
            <v/>
          </cell>
          <cell r="G36" t="str">
            <v xml:space="preserve"> </v>
          </cell>
        </row>
        <row r="37">
          <cell r="B37">
            <v>44793</v>
          </cell>
          <cell r="F37" t="str">
            <v/>
          </cell>
          <cell r="G37" t="str">
            <v xml:space="preserve"> </v>
          </cell>
        </row>
        <row r="38">
          <cell r="B38">
            <v>44800</v>
          </cell>
          <cell r="F38" t="str">
            <v/>
          </cell>
          <cell r="G38" t="str">
            <v xml:space="preserve"> </v>
          </cell>
        </row>
        <row r="39">
          <cell r="B39">
            <v>44807</v>
          </cell>
          <cell r="F39" t="str">
            <v/>
          </cell>
          <cell r="G39" t="str">
            <v xml:space="preserve"> </v>
          </cell>
        </row>
        <row r="40">
          <cell r="B40">
            <v>44814</v>
          </cell>
          <cell r="F40" t="str">
            <v/>
          </cell>
          <cell r="G40" t="str">
            <v xml:space="preserve"> </v>
          </cell>
        </row>
        <row r="41">
          <cell r="B41">
            <v>44821</v>
          </cell>
          <cell r="F41" t="str">
            <v/>
          </cell>
          <cell r="G41" t="str">
            <v xml:space="preserve"> </v>
          </cell>
        </row>
        <row r="42">
          <cell r="B42">
            <v>44828</v>
          </cell>
          <cell r="F42" t="str">
            <v/>
          </cell>
          <cell r="G42" t="str">
            <v xml:space="preserve"> </v>
          </cell>
        </row>
        <row r="43">
          <cell r="B43">
            <v>44835</v>
          </cell>
          <cell r="F43" t="str">
            <v/>
          </cell>
          <cell r="G43" t="str">
            <v xml:space="preserve"> </v>
          </cell>
        </row>
        <row r="44">
          <cell r="B44">
            <v>44842</v>
          </cell>
          <cell r="F44" t="str">
            <v/>
          </cell>
          <cell r="G44" t="str">
            <v xml:space="preserve"> </v>
          </cell>
        </row>
        <row r="45">
          <cell r="B45">
            <v>44849</v>
          </cell>
          <cell r="F45" t="str">
            <v/>
          </cell>
          <cell r="G45" t="str">
            <v xml:space="preserve"> </v>
          </cell>
        </row>
        <row r="46">
          <cell r="B46">
            <v>44856</v>
          </cell>
          <cell r="F46" t="str">
            <v/>
          </cell>
          <cell r="G46" t="str">
            <v xml:space="preserve"> </v>
          </cell>
        </row>
        <row r="47">
          <cell r="B47">
            <v>44863</v>
          </cell>
          <cell r="F47" t="str">
            <v/>
          </cell>
          <cell r="G47" t="str">
            <v xml:space="preserve"> </v>
          </cell>
        </row>
        <row r="48">
          <cell r="B48">
            <v>44870</v>
          </cell>
          <cell r="F48" t="str">
            <v/>
          </cell>
          <cell r="G48" t="str">
            <v xml:space="preserve"> </v>
          </cell>
        </row>
        <row r="49">
          <cell r="B49">
            <v>44877</v>
          </cell>
          <cell r="F49" t="str">
            <v/>
          </cell>
          <cell r="G49" t="str">
            <v xml:space="preserve"> </v>
          </cell>
        </row>
        <row r="50">
          <cell r="B50">
            <v>44884</v>
          </cell>
          <cell r="F50" t="str">
            <v/>
          </cell>
          <cell r="G50" t="str">
            <v xml:space="preserve"> </v>
          </cell>
        </row>
        <row r="51">
          <cell r="B51">
            <v>44891</v>
          </cell>
          <cell r="F51" t="str">
            <v/>
          </cell>
          <cell r="G51" t="str">
            <v xml:space="preserve"> </v>
          </cell>
        </row>
        <row r="52">
          <cell r="B52">
            <v>44898</v>
          </cell>
          <cell r="F52" t="str">
            <v/>
          </cell>
          <cell r="G52" t="str">
            <v xml:space="preserve"> </v>
          </cell>
        </row>
        <row r="53">
          <cell r="B53">
            <v>44905</v>
          </cell>
          <cell r="F53" t="str">
            <v/>
          </cell>
          <cell r="G53" t="str">
            <v xml:space="preserve"> </v>
          </cell>
        </row>
        <row r="54">
          <cell r="B54">
            <v>44912</v>
          </cell>
          <cell r="F54" t="str">
            <v/>
          </cell>
          <cell r="G54" t="str">
            <v xml:space="preserve"> </v>
          </cell>
        </row>
        <row r="55">
          <cell r="B55">
            <v>44919</v>
          </cell>
          <cell r="F55" t="str">
            <v/>
          </cell>
          <cell r="G55" t="str">
            <v xml:space="preserve"> </v>
          </cell>
        </row>
        <row r="56">
          <cell r="B56">
            <v>44926</v>
          </cell>
          <cell r="F56" t="str">
            <v/>
          </cell>
          <cell r="G56" t="str">
            <v xml:space="preserve"> 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"/>
  <sheetViews>
    <sheetView tabSelected="1" workbookViewId="0">
      <selection activeCell="P20" sqref="P20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menu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600075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Prąd">
                <anchor moveWithCells="1" sizeWithCells="1">
                  <from>
                    <xdr:col>0</xdr:col>
                    <xdr:colOff>0</xdr:colOff>
                    <xdr:row>3</xdr:row>
                    <xdr:rowOff>142875</xdr:rowOff>
                  </from>
                  <to>
                    <xdr:col>2</xdr:col>
                    <xdr:colOff>600075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Prąd_wy">
                <anchor moveWithCells="1" sizeWithCells="1">
                  <from>
                    <xdr:col>0</xdr:col>
                    <xdr:colOff>0</xdr:colOff>
                    <xdr:row>7</xdr:row>
                    <xdr:rowOff>95250</xdr:rowOff>
                  </from>
                  <to>
                    <xdr:col>2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Button 7">
              <controlPr defaultSize="0" print="0" autoFill="0" autoPict="0" macro="[0]!Gaz">
                <anchor moveWithCells="1" sizeWithCells="1">
                  <from>
                    <xdr:col>0</xdr:col>
                    <xdr:colOff>0</xdr:colOff>
                    <xdr:row>11</xdr:row>
                    <xdr:rowOff>28575</xdr:rowOff>
                  </from>
                  <to>
                    <xdr:col>2</xdr:col>
                    <xdr:colOff>600075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Gaz_wy">
                <anchor moveWithCells="1" sizeWithCells="1">
                  <from>
                    <xdr:col>0</xdr:col>
                    <xdr:colOff>0</xdr:colOff>
                    <xdr:row>14</xdr:row>
                    <xdr:rowOff>161925</xdr:rowOff>
                  </from>
                  <to>
                    <xdr:col>2</xdr:col>
                    <xdr:colOff>600075</xdr:colOff>
                    <xdr:row>18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/>
  <dimension ref="B2:G62"/>
  <sheetViews>
    <sheetView workbookViewId="0">
      <selection activeCell="M8" sqref="M8"/>
    </sheetView>
  </sheetViews>
  <sheetFormatPr defaultRowHeight="15" x14ac:dyDescent="0.25"/>
  <cols>
    <col min="2" max="2" width="18.28515625" bestFit="1" customWidth="1"/>
    <col min="3" max="3" width="15.140625" customWidth="1"/>
    <col min="4" max="4" width="19.5703125" customWidth="1"/>
    <col min="5" max="5" width="25" customWidth="1"/>
    <col min="6" max="6" width="23.7109375" customWidth="1"/>
    <col min="7" max="7" width="22.85546875" customWidth="1"/>
  </cols>
  <sheetData>
    <row r="2" spans="2:7" x14ac:dyDescent="0.25">
      <c r="E2" t="s">
        <v>0</v>
      </c>
      <c r="F2" s="1">
        <v>44562</v>
      </c>
    </row>
    <row r="3" spans="2:7" ht="30" customHeight="1" x14ac:dyDescent="0.25">
      <c r="B3" s="6" t="s">
        <v>11</v>
      </c>
      <c r="C3" s="4" t="s">
        <v>1</v>
      </c>
      <c r="D3" s="4" t="s">
        <v>2</v>
      </c>
      <c r="E3" s="4" t="s">
        <v>3</v>
      </c>
      <c r="F3" s="3" t="s">
        <v>4</v>
      </c>
      <c r="G3" s="4" t="s">
        <v>5</v>
      </c>
    </row>
    <row r="4" spans="2:7" x14ac:dyDescent="0.25">
      <c r="B4" s="1">
        <f>F2</f>
        <v>44562</v>
      </c>
      <c r="C4" s="2">
        <f ca="1">RANDBETWEEN(100000,1000000)</f>
        <v>450566</v>
      </c>
      <c r="D4" s="2">
        <v>0</v>
      </c>
      <c r="E4" s="2">
        <f>SUM($D$4:D4)</f>
        <v>0</v>
      </c>
      <c r="F4" s="5">
        <f>IF(D4="","",D4/7)</f>
        <v>0</v>
      </c>
      <c r="G4" s="5">
        <f>E4</f>
        <v>0</v>
      </c>
    </row>
    <row r="5" spans="2:7" x14ac:dyDescent="0.25">
      <c r="B5" s="1">
        <f>B4+7</f>
        <v>44569</v>
      </c>
      <c r="C5" s="2">
        <f ca="1">C4+RANDBETWEEN(1000,4000)</f>
        <v>451582</v>
      </c>
      <c r="D5" s="2">
        <f t="shared" ref="D5:D19" ca="1" si="0">IF(ISBLANK(C5),"",IF(C5-C4&lt;0,"niepoprawne dane",C5-C4))</f>
        <v>1016</v>
      </c>
      <c r="E5" s="2">
        <f t="shared" ref="E5:E7" ca="1" si="1">IF(D5=""," ",E4+D5)</f>
        <v>1016</v>
      </c>
      <c r="F5" s="5">
        <f ca="1">IF(D5="","",D5/7)</f>
        <v>145.14285714285714</v>
      </c>
      <c r="G5" s="5">
        <f t="shared" ref="G5:G56" ca="1" si="2">IF(D5=""," ",E5/(B5-$F$2))</f>
        <v>145.14285714285714</v>
      </c>
    </row>
    <row r="6" spans="2:7" x14ac:dyDescent="0.25">
      <c r="B6" s="1">
        <f t="shared" ref="B6:B56" si="3">B5+7</f>
        <v>44576</v>
      </c>
      <c r="C6" s="2">
        <f t="shared" ref="C6:C20" ca="1" si="4">C5+RANDBETWEEN(1000,4000)</f>
        <v>453436</v>
      </c>
      <c r="D6" s="2">
        <f t="shared" ca="1" si="0"/>
        <v>1854</v>
      </c>
      <c r="E6" s="2">
        <f t="shared" ca="1" si="1"/>
        <v>2870</v>
      </c>
      <c r="F6" s="5">
        <f t="shared" ref="F6:F20" ca="1" si="5">IF(D6="","",D6/7)</f>
        <v>264.85714285714283</v>
      </c>
      <c r="G6" s="5">
        <f t="shared" ca="1" si="2"/>
        <v>205</v>
      </c>
    </row>
    <row r="7" spans="2:7" x14ac:dyDescent="0.25">
      <c r="B7" s="1">
        <f t="shared" si="3"/>
        <v>44583</v>
      </c>
      <c r="C7" s="2">
        <f t="shared" ca="1" si="4"/>
        <v>454599</v>
      </c>
      <c r="D7" s="2">
        <f t="shared" ca="1" si="0"/>
        <v>1163</v>
      </c>
      <c r="E7" s="2">
        <f t="shared" ca="1" si="1"/>
        <v>4033</v>
      </c>
      <c r="F7" s="5">
        <f t="shared" ca="1" si="5"/>
        <v>166.14285714285714</v>
      </c>
      <c r="G7" s="5">
        <f t="shared" ca="1" si="2"/>
        <v>192.04761904761904</v>
      </c>
    </row>
    <row r="8" spans="2:7" x14ac:dyDescent="0.25">
      <c r="B8" s="1">
        <f t="shared" si="3"/>
        <v>44590</v>
      </c>
      <c r="C8" s="2">
        <f t="shared" ca="1" si="4"/>
        <v>455893</v>
      </c>
      <c r="D8" s="2">
        <f t="shared" ca="1" si="0"/>
        <v>1294</v>
      </c>
      <c r="E8" s="2">
        <f t="shared" ref="E8:E21" ca="1" si="6">IF(D8=""," ",E7+D8)</f>
        <v>5327</v>
      </c>
      <c r="F8" s="5">
        <f t="shared" ca="1" si="5"/>
        <v>184.85714285714286</v>
      </c>
      <c r="G8" s="5">
        <f t="shared" ca="1" si="2"/>
        <v>190.25</v>
      </c>
    </row>
    <row r="9" spans="2:7" x14ac:dyDescent="0.25">
      <c r="B9" s="1">
        <f t="shared" si="3"/>
        <v>44597</v>
      </c>
      <c r="C9" s="2">
        <f t="shared" ca="1" si="4"/>
        <v>457803</v>
      </c>
      <c r="D9" s="2">
        <f t="shared" ca="1" si="0"/>
        <v>1910</v>
      </c>
      <c r="E9" s="2">
        <f t="shared" ca="1" si="6"/>
        <v>7237</v>
      </c>
      <c r="F9" s="5">
        <f t="shared" ca="1" si="5"/>
        <v>272.85714285714283</v>
      </c>
      <c r="G9" s="5">
        <f t="shared" ca="1" si="2"/>
        <v>206.77142857142857</v>
      </c>
    </row>
    <row r="10" spans="2:7" x14ac:dyDescent="0.25">
      <c r="B10" s="1">
        <f t="shared" si="3"/>
        <v>44604</v>
      </c>
      <c r="C10" s="2">
        <f t="shared" ca="1" si="4"/>
        <v>460753</v>
      </c>
      <c r="D10" s="2">
        <f t="shared" ca="1" si="0"/>
        <v>2950</v>
      </c>
      <c r="E10" s="2">
        <f t="shared" ca="1" si="6"/>
        <v>10187</v>
      </c>
      <c r="F10" s="5">
        <f t="shared" ca="1" si="5"/>
        <v>421.42857142857144</v>
      </c>
      <c r="G10" s="5">
        <f t="shared" ca="1" si="2"/>
        <v>242.54761904761904</v>
      </c>
    </row>
    <row r="11" spans="2:7" x14ac:dyDescent="0.25">
      <c r="B11" s="1">
        <f t="shared" si="3"/>
        <v>44611</v>
      </c>
      <c r="C11" s="2">
        <f t="shared" ca="1" si="4"/>
        <v>463753</v>
      </c>
      <c r="D11" s="2">
        <f t="shared" ca="1" si="0"/>
        <v>3000</v>
      </c>
      <c r="E11" s="2">
        <f t="shared" ca="1" si="6"/>
        <v>13187</v>
      </c>
      <c r="F11" s="5">
        <f t="shared" ca="1" si="5"/>
        <v>428.57142857142856</v>
      </c>
      <c r="G11" s="5">
        <f t="shared" ca="1" si="2"/>
        <v>269.12244897959181</v>
      </c>
    </row>
    <row r="12" spans="2:7" x14ac:dyDescent="0.25">
      <c r="B12" s="1">
        <f t="shared" si="3"/>
        <v>44618</v>
      </c>
      <c r="C12" s="2">
        <f t="shared" ca="1" si="4"/>
        <v>464939</v>
      </c>
      <c r="D12" s="2">
        <f t="shared" ca="1" si="0"/>
        <v>1186</v>
      </c>
      <c r="E12" s="2">
        <f t="shared" ca="1" si="6"/>
        <v>14373</v>
      </c>
      <c r="F12" s="5">
        <f t="shared" ca="1" si="5"/>
        <v>169.42857142857142</v>
      </c>
      <c r="G12" s="5">
        <f t="shared" ca="1" si="2"/>
        <v>256.66071428571428</v>
      </c>
    </row>
    <row r="13" spans="2:7" x14ac:dyDescent="0.25">
      <c r="B13" s="1">
        <f t="shared" si="3"/>
        <v>44625</v>
      </c>
      <c r="C13" s="2">
        <f t="shared" ca="1" si="4"/>
        <v>468103</v>
      </c>
      <c r="D13" s="2">
        <f t="shared" ca="1" si="0"/>
        <v>3164</v>
      </c>
      <c r="E13" s="2">
        <f t="shared" ca="1" si="6"/>
        <v>17537</v>
      </c>
      <c r="F13" s="5">
        <f t="shared" ca="1" si="5"/>
        <v>452</v>
      </c>
      <c r="G13" s="5">
        <f t="shared" ca="1" si="2"/>
        <v>278.36507936507934</v>
      </c>
    </row>
    <row r="14" spans="2:7" x14ac:dyDescent="0.25">
      <c r="B14" s="1">
        <f t="shared" si="3"/>
        <v>44632</v>
      </c>
      <c r="C14" s="2">
        <f t="shared" ca="1" si="4"/>
        <v>469347</v>
      </c>
      <c r="D14" s="2">
        <f t="shared" ca="1" si="0"/>
        <v>1244</v>
      </c>
      <c r="E14" s="2">
        <f t="shared" ca="1" si="6"/>
        <v>18781</v>
      </c>
      <c r="F14" s="5">
        <f t="shared" ca="1" si="5"/>
        <v>177.71428571428572</v>
      </c>
      <c r="G14" s="5">
        <f t="shared" ca="1" si="2"/>
        <v>268.3</v>
      </c>
    </row>
    <row r="15" spans="2:7" x14ac:dyDescent="0.25">
      <c r="B15" s="1">
        <f t="shared" si="3"/>
        <v>44639</v>
      </c>
      <c r="C15" s="2">
        <f t="shared" ca="1" si="4"/>
        <v>470414</v>
      </c>
      <c r="D15" s="2">
        <f t="shared" ca="1" si="0"/>
        <v>1067</v>
      </c>
      <c r="E15" s="2">
        <f t="shared" ca="1" si="6"/>
        <v>19848</v>
      </c>
      <c r="F15" s="5">
        <f t="shared" ca="1" si="5"/>
        <v>152.42857142857142</v>
      </c>
      <c r="G15" s="5">
        <f t="shared" ca="1" si="2"/>
        <v>257.76623376623377</v>
      </c>
    </row>
    <row r="16" spans="2:7" x14ac:dyDescent="0.25">
      <c r="B16" s="1">
        <f t="shared" si="3"/>
        <v>44646</v>
      </c>
      <c r="C16" s="2">
        <f t="shared" ca="1" si="4"/>
        <v>472967</v>
      </c>
      <c r="D16" s="2">
        <f t="shared" ca="1" si="0"/>
        <v>2553</v>
      </c>
      <c r="E16" s="2">
        <f t="shared" ca="1" si="6"/>
        <v>22401</v>
      </c>
      <c r="F16" s="5">
        <f t="shared" ca="1" si="5"/>
        <v>364.71428571428572</v>
      </c>
      <c r="G16" s="5">
        <f t="shared" ca="1" si="2"/>
        <v>266.67857142857144</v>
      </c>
    </row>
    <row r="17" spans="2:7" x14ac:dyDescent="0.25">
      <c r="B17" s="1">
        <f t="shared" si="3"/>
        <v>44653</v>
      </c>
      <c r="C17" s="2">
        <f t="shared" ca="1" si="4"/>
        <v>474924</v>
      </c>
      <c r="D17" s="2">
        <f t="shared" ca="1" si="0"/>
        <v>1957</v>
      </c>
      <c r="E17" s="2">
        <f t="shared" ca="1" si="6"/>
        <v>24358</v>
      </c>
      <c r="F17" s="5">
        <f t="shared" ca="1" si="5"/>
        <v>279.57142857142856</v>
      </c>
      <c r="G17" s="5">
        <f t="shared" ca="1" si="2"/>
        <v>267.67032967032969</v>
      </c>
    </row>
    <row r="18" spans="2:7" x14ac:dyDescent="0.25">
      <c r="B18" s="1">
        <f t="shared" si="3"/>
        <v>44660</v>
      </c>
      <c r="C18" s="2">
        <f t="shared" ca="1" si="4"/>
        <v>477745</v>
      </c>
      <c r="D18" s="2">
        <f t="shared" ca="1" si="0"/>
        <v>2821</v>
      </c>
      <c r="E18" s="2">
        <f t="shared" ca="1" si="6"/>
        <v>27179</v>
      </c>
      <c r="F18" s="5">
        <f t="shared" ca="1" si="5"/>
        <v>403</v>
      </c>
      <c r="G18" s="5">
        <f t="shared" ca="1" si="2"/>
        <v>277.33673469387753</v>
      </c>
    </row>
    <row r="19" spans="2:7" x14ac:dyDescent="0.25">
      <c r="B19" s="1">
        <f t="shared" si="3"/>
        <v>44667</v>
      </c>
      <c r="C19" s="2">
        <f t="shared" ca="1" si="4"/>
        <v>479513</v>
      </c>
      <c r="D19" s="2">
        <f t="shared" ca="1" si="0"/>
        <v>1768</v>
      </c>
      <c r="E19" s="2">
        <f t="shared" ca="1" si="6"/>
        <v>28947</v>
      </c>
      <c r="F19" s="5">
        <f t="shared" ca="1" si="5"/>
        <v>252.57142857142858</v>
      </c>
      <c r="G19" s="5">
        <f t="shared" ca="1" si="2"/>
        <v>275.68571428571431</v>
      </c>
    </row>
    <row r="20" spans="2:7" x14ac:dyDescent="0.25">
      <c r="B20" s="1">
        <f t="shared" si="3"/>
        <v>44674</v>
      </c>
      <c r="C20" s="2">
        <f t="shared" ca="1" si="4"/>
        <v>481985</v>
      </c>
      <c r="D20" s="2">
        <f ca="1">IF(ISBLANK(C20),"",IF(C20-C19&lt;0,"niepoprawne dane",C20-C19))</f>
        <v>2472</v>
      </c>
      <c r="E20" s="2">
        <f t="shared" ca="1" si="6"/>
        <v>31419</v>
      </c>
      <c r="F20" s="5">
        <f t="shared" ca="1" si="5"/>
        <v>353.14285714285717</v>
      </c>
      <c r="G20" s="5">
        <f ca="1">IF(D20=""," ",E20/(B20-$F$2))</f>
        <v>280.52678571428572</v>
      </c>
    </row>
    <row r="21" spans="2:7" x14ac:dyDescent="0.25">
      <c r="B21" s="1">
        <f t="shared" si="3"/>
        <v>44681</v>
      </c>
      <c r="C21" s="2"/>
      <c r="D21" s="2" t="str">
        <f>IF(ISBLANK(C21),"",IF(C21-C20&lt;0,"niepoprawne dane",C21-C20))</f>
        <v/>
      </c>
      <c r="E21" s="2" t="str">
        <f t="shared" si="6"/>
        <v xml:space="preserve"> </v>
      </c>
      <c r="F21" s="5" t="str">
        <f>IF(D21="","",D21/7)</f>
        <v/>
      </c>
      <c r="G21" s="5" t="str">
        <f t="shared" si="2"/>
        <v xml:space="preserve"> </v>
      </c>
    </row>
    <row r="22" spans="2:7" x14ac:dyDescent="0.25">
      <c r="B22" s="1">
        <f t="shared" si="3"/>
        <v>44688</v>
      </c>
      <c r="C22" s="2"/>
      <c r="D22" s="2" t="str">
        <f t="shared" ref="D22:D56" si="7">IF(ISBLANK(C22),"",IF(C22-C21&lt;0,"niepoprawne dane",C22-C21))</f>
        <v/>
      </c>
      <c r="E22" s="2" t="str">
        <f t="shared" ref="E22:E56" si="8">IF(D22=""," ",E21+D22)</f>
        <v xml:space="preserve"> </v>
      </c>
      <c r="F22" s="5" t="str">
        <f t="shared" ref="F22:F56" si="9">IF(D22="","",D22/7)</f>
        <v/>
      </c>
      <c r="G22" s="5" t="str">
        <f t="shared" si="2"/>
        <v xml:space="preserve"> </v>
      </c>
    </row>
    <row r="23" spans="2:7" x14ac:dyDescent="0.25">
      <c r="B23" s="1">
        <f t="shared" si="3"/>
        <v>44695</v>
      </c>
      <c r="C23" s="2"/>
      <c r="D23" s="2" t="str">
        <f t="shared" si="7"/>
        <v/>
      </c>
      <c r="E23" s="2" t="str">
        <f t="shared" si="8"/>
        <v xml:space="preserve"> </v>
      </c>
      <c r="F23" s="5" t="str">
        <f t="shared" si="9"/>
        <v/>
      </c>
      <c r="G23" s="5" t="str">
        <f t="shared" si="2"/>
        <v xml:space="preserve"> </v>
      </c>
    </row>
    <row r="24" spans="2:7" x14ac:dyDescent="0.25">
      <c r="B24" s="1">
        <f t="shared" si="3"/>
        <v>44702</v>
      </c>
      <c r="C24" s="2"/>
      <c r="D24" s="2" t="str">
        <f t="shared" si="7"/>
        <v/>
      </c>
      <c r="E24" s="2" t="str">
        <f t="shared" si="8"/>
        <v xml:space="preserve"> </v>
      </c>
      <c r="F24" s="5" t="str">
        <f t="shared" si="9"/>
        <v/>
      </c>
      <c r="G24" s="5" t="str">
        <f t="shared" si="2"/>
        <v xml:space="preserve"> </v>
      </c>
    </row>
    <row r="25" spans="2:7" x14ac:dyDescent="0.25">
      <c r="B25" s="1">
        <f t="shared" si="3"/>
        <v>44709</v>
      </c>
      <c r="C25" s="2"/>
      <c r="D25" s="2" t="str">
        <f t="shared" si="7"/>
        <v/>
      </c>
      <c r="E25" s="2"/>
      <c r="F25" s="5" t="str">
        <f t="shared" si="9"/>
        <v/>
      </c>
      <c r="G25" s="5" t="str">
        <f t="shared" si="2"/>
        <v xml:space="preserve"> </v>
      </c>
    </row>
    <row r="26" spans="2:7" x14ac:dyDescent="0.25">
      <c r="B26" s="1">
        <f t="shared" si="3"/>
        <v>44716</v>
      </c>
      <c r="C26" s="2"/>
      <c r="D26" s="2" t="str">
        <f t="shared" si="7"/>
        <v/>
      </c>
      <c r="E26" s="2" t="str">
        <f t="shared" si="8"/>
        <v xml:space="preserve"> </v>
      </c>
      <c r="F26" s="5" t="str">
        <f t="shared" si="9"/>
        <v/>
      </c>
      <c r="G26" s="5" t="str">
        <f t="shared" si="2"/>
        <v xml:space="preserve"> </v>
      </c>
    </row>
    <row r="27" spans="2:7" x14ac:dyDescent="0.25">
      <c r="B27" s="1">
        <f t="shared" si="3"/>
        <v>44723</v>
      </c>
      <c r="C27" s="2"/>
      <c r="D27" s="2" t="str">
        <f t="shared" si="7"/>
        <v/>
      </c>
      <c r="E27" s="2" t="str">
        <f t="shared" si="8"/>
        <v xml:space="preserve"> </v>
      </c>
      <c r="F27" s="5" t="str">
        <f t="shared" si="9"/>
        <v/>
      </c>
      <c r="G27" s="5" t="str">
        <f t="shared" si="2"/>
        <v xml:space="preserve"> </v>
      </c>
    </row>
    <row r="28" spans="2:7" x14ac:dyDescent="0.25">
      <c r="B28" s="1">
        <f t="shared" si="3"/>
        <v>44730</v>
      </c>
      <c r="C28" s="2"/>
      <c r="D28" s="2" t="str">
        <f t="shared" si="7"/>
        <v/>
      </c>
      <c r="E28" s="2" t="str">
        <f t="shared" si="8"/>
        <v xml:space="preserve"> </v>
      </c>
      <c r="F28" s="5" t="str">
        <f t="shared" si="9"/>
        <v/>
      </c>
      <c r="G28" s="5" t="str">
        <f t="shared" si="2"/>
        <v xml:space="preserve"> </v>
      </c>
    </row>
    <row r="29" spans="2:7" x14ac:dyDescent="0.25">
      <c r="B29" s="1">
        <f t="shared" si="3"/>
        <v>44737</v>
      </c>
      <c r="C29" s="2"/>
      <c r="D29" s="2" t="str">
        <f t="shared" si="7"/>
        <v/>
      </c>
      <c r="E29" s="2" t="str">
        <f t="shared" si="8"/>
        <v xml:space="preserve"> </v>
      </c>
      <c r="F29" s="5" t="str">
        <f t="shared" si="9"/>
        <v/>
      </c>
      <c r="G29" s="5" t="str">
        <f t="shared" si="2"/>
        <v xml:space="preserve"> </v>
      </c>
    </row>
    <row r="30" spans="2:7" x14ac:dyDescent="0.25">
      <c r="B30" s="1">
        <f t="shared" si="3"/>
        <v>44744</v>
      </c>
      <c r="C30" s="2"/>
      <c r="D30" s="2" t="str">
        <f t="shared" si="7"/>
        <v/>
      </c>
      <c r="E30" s="2" t="str">
        <f t="shared" si="8"/>
        <v xml:space="preserve"> </v>
      </c>
      <c r="F30" s="5" t="str">
        <f t="shared" si="9"/>
        <v/>
      </c>
      <c r="G30" s="5" t="str">
        <f t="shared" si="2"/>
        <v xml:space="preserve"> </v>
      </c>
    </row>
    <row r="31" spans="2:7" x14ac:dyDescent="0.25">
      <c r="B31" s="1">
        <f t="shared" si="3"/>
        <v>44751</v>
      </c>
      <c r="C31" s="2"/>
      <c r="D31" s="2" t="str">
        <f t="shared" si="7"/>
        <v/>
      </c>
      <c r="E31" s="2" t="str">
        <f t="shared" si="8"/>
        <v xml:space="preserve"> </v>
      </c>
      <c r="F31" s="5" t="str">
        <f t="shared" si="9"/>
        <v/>
      </c>
      <c r="G31" s="5" t="str">
        <f t="shared" si="2"/>
        <v xml:space="preserve"> </v>
      </c>
    </row>
    <row r="32" spans="2:7" x14ac:dyDescent="0.25">
      <c r="B32" s="1">
        <f t="shared" si="3"/>
        <v>44758</v>
      </c>
      <c r="C32" s="2"/>
      <c r="D32" s="2" t="str">
        <f t="shared" si="7"/>
        <v/>
      </c>
      <c r="E32" s="2" t="str">
        <f t="shared" si="8"/>
        <v xml:space="preserve"> </v>
      </c>
      <c r="F32" s="5" t="str">
        <f t="shared" si="9"/>
        <v/>
      </c>
      <c r="G32" s="5" t="str">
        <f t="shared" si="2"/>
        <v xml:space="preserve"> </v>
      </c>
    </row>
    <row r="33" spans="2:7" x14ac:dyDescent="0.25">
      <c r="B33" s="1">
        <f t="shared" si="3"/>
        <v>44765</v>
      </c>
      <c r="C33" s="2"/>
      <c r="D33" s="2" t="str">
        <f t="shared" si="7"/>
        <v/>
      </c>
      <c r="E33" s="2" t="str">
        <f t="shared" si="8"/>
        <v xml:space="preserve"> </v>
      </c>
      <c r="F33" s="5" t="str">
        <f t="shared" si="9"/>
        <v/>
      </c>
      <c r="G33" s="5" t="str">
        <f t="shared" si="2"/>
        <v xml:space="preserve"> </v>
      </c>
    </row>
    <row r="34" spans="2:7" x14ac:dyDescent="0.25">
      <c r="B34" s="1">
        <f t="shared" si="3"/>
        <v>44772</v>
      </c>
      <c r="C34" s="2"/>
      <c r="D34" s="2" t="str">
        <f t="shared" si="7"/>
        <v/>
      </c>
      <c r="E34" s="2" t="str">
        <f t="shared" si="8"/>
        <v xml:space="preserve"> </v>
      </c>
      <c r="F34" s="5" t="str">
        <f t="shared" si="9"/>
        <v/>
      </c>
      <c r="G34" s="5" t="str">
        <f t="shared" si="2"/>
        <v xml:space="preserve"> </v>
      </c>
    </row>
    <row r="35" spans="2:7" x14ac:dyDescent="0.25">
      <c r="B35" s="1">
        <f t="shared" si="3"/>
        <v>44779</v>
      </c>
      <c r="C35" s="2"/>
      <c r="D35" s="2" t="str">
        <f t="shared" si="7"/>
        <v/>
      </c>
      <c r="E35" s="2" t="str">
        <f t="shared" si="8"/>
        <v xml:space="preserve"> </v>
      </c>
      <c r="F35" s="5" t="str">
        <f t="shared" si="9"/>
        <v/>
      </c>
      <c r="G35" s="5" t="str">
        <f t="shared" si="2"/>
        <v xml:space="preserve"> </v>
      </c>
    </row>
    <row r="36" spans="2:7" x14ac:dyDescent="0.25">
      <c r="B36" s="1">
        <f t="shared" si="3"/>
        <v>44786</v>
      </c>
      <c r="C36" s="2"/>
      <c r="D36" s="2" t="str">
        <f t="shared" si="7"/>
        <v/>
      </c>
      <c r="E36" s="2" t="str">
        <f t="shared" si="8"/>
        <v xml:space="preserve"> </v>
      </c>
      <c r="F36" s="5" t="str">
        <f t="shared" si="9"/>
        <v/>
      </c>
      <c r="G36" s="5" t="str">
        <f t="shared" si="2"/>
        <v xml:space="preserve"> </v>
      </c>
    </row>
    <row r="37" spans="2:7" x14ac:dyDescent="0.25">
      <c r="B37" s="1">
        <f t="shared" si="3"/>
        <v>44793</v>
      </c>
      <c r="C37" s="2"/>
      <c r="D37" s="2" t="str">
        <f t="shared" si="7"/>
        <v/>
      </c>
      <c r="E37" s="2" t="str">
        <f t="shared" si="8"/>
        <v xml:space="preserve"> </v>
      </c>
      <c r="F37" s="5" t="str">
        <f t="shared" si="9"/>
        <v/>
      </c>
      <c r="G37" s="5" t="str">
        <f t="shared" si="2"/>
        <v xml:space="preserve"> </v>
      </c>
    </row>
    <row r="38" spans="2:7" x14ac:dyDescent="0.25">
      <c r="B38" s="1">
        <f t="shared" si="3"/>
        <v>44800</v>
      </c>
      <c r="C38" s="2"/>
      <c r="D38" s="2" t="str">
        <f t="shared" si="7"/>
        <v/>
      </c>
      <c r="E38" s="2" t="str">
        <f t="shared" si="8"/>
        <v xml:space="preserve"> </v>
      </c>
      <c r="F38" s="5" t="str">
        <f t="shared" si="9"/>
        <v/>
      </c>
      <c r="G38" s="5" t="str">
        <f t="shared" si="2"/>
        <v xml:space="preserve"> </v>
      </c>
    </row>
    <row r="39" spans="2:7" x14ac:dyDescent="0.25">
      <c r="B39" s="1">
        <f t="shared" si="3"/>
        <v>44807</v>
      </c>
      <c r="C39" s="2"/>
      <c r="D39" s="2" t="str">
        <f t="shared" si="7"/>
        <v/>
      </c>
      <c r="E39" s="2" t="str">
        <f t="shared" si="8"/>
        <v xml:space="preserve"> </v>
      </c>
      <c r="F39" s="5" t="str">
        <f t="shared" si="9"/>
        <v/>
      </c>
      <c r="G39" s="5" t="str">
        <f t="shared" si="2"/>
        <v xml:space="preserve"> </v>
      </c>
    </row>
    <row r="40" spans="2:7" x14ac:dyDescent="0.25">
      <c r="B40" s="1">
        <f t="shared" si="3"/>
        <v>44814</v>
      </c>
      <c r="C40" s="2"/>
      <c r="D40" s="2" t="str">
        <f t="shared" si="7"/>
        <v/>
      </c>
      <c r="E40" s="2" t="str">
        <f t="shared" si="8"/>
        <v xml:space="preserve"> </v>
      </c>
      <c r="F40" s="5" t="str">
        <f t="shared" si="9"/>
        <v/>
      </c>
      <c r="G40" s="5" t="str">
        <f t="shared" si="2"/>
        <v xml:space="preserve"> </v>
      </c>
    </row>
    <row r="41" spans="2:7" x14ac:dyDescent="0.25">
      <c r="B41" s="1">
        <f t="shared" si="3"/>
        <v>44821</v>
      </c>
      <c r="C41" s="2"/>
      <c r="D41" s="2" t="str">
        <f t="shared" si="7"/>
        <v/>
      </c>
      <c r="E41" s="2" t="str">
        <f t="shared" si="8"/>
        <v xml:space="preserve"> </v>
      </c>
      <c r="F41" s="5" t="str">
        <f t="shared" si="9"/>
        <v/>
      </c>
      <c r="G41" s="5" t="str">
        <f t="shared" si="2"/>
        <v xml:space="preserve"> </v>
      </c>
    </row>
    <row r="42" spans="2:7" x14ac:dyDescent="0.25">
      <c r="B42" s="1">
        <f t="shared" si="3"/>
        <v>44828</v>
      </c>
      <c r="C42" s="2"/>
      <c r="D42" s="2" t="str">
        <f t="shared" si="7"/>
        <v/>
      </c>
      <c r="E42" s="2" t="str">
        <f t="shared" si="8"/>
        <v xml:space="preserve"> </v>
      </c>
      <c r="F42" s="5" t="str">
        <f t="shared" si="9"/>
        <v/>
      </c>
      <c r="G42" s="5" t="str">
        <f t="shared" si="2"/>
        <v xml:space="preserve"> </v>
      </c>
    </row>
    <row r="43" spans="2:7" x14ac:dyDescent="0.25">
      <c r="B43" s="1">
        <f t="shared" si="3"/>
        <v>44835</v>
      </c>
      <c r="C43" s="2"/>
      <c r="D43" s="2" t="str">
        <f t="shared" si="7"/>
        <v/>
      </c>
      <c r="E43" s="2" t="str">
        <f t="shared" si="8"/>
        <v xml:space="preserve"> </v>
      </c>
      <c r="F43" s="5" t="str">
        <f t="shared" si="9"/>
        <v/>
      </c>
      <c r="G43" s="5" t="str">
        <f t="shared" si="2"/>
        <v xml:space="preserve"> </v>
      </c>
    </row>
    <row r="44" spans="2:7" x14ac:dyDescent="0.25">
      <c r="B44" s="1">
        <f t="shared" si="3"/>
        <v>44842</v>
      </c>
      <c r="C44" s="2"/>
      <c r="D44" s="2" t="str">
        <f t="shared" si="7"/>
        <v/>
      </c>
      <c r="E44" s="2" t="str">
        <f t="shared" si="8"/>
        <v xml:space="preserve"> </v>
      </c>
      <c r="F44" s="5" t="str">
        <f t="shared" si="9"/>
        <v/>
      </c>
      <c r="G44" s="5" t="str">
        <f t="shared" si="2"/>
        <v xml:space="preserve"> </v>
      </c>
    </row>
    <row r="45" spans="2:7" x14ac:dyDescent="0.25">
      <c r="B45" s="1">
        <f t="shared" si="3"/>
        <v>44849</v>
      </c>
      <c r="C45" s="2"/>
      <c r="D45" s="2" t="str">
        <f t="shared" si="7"/>
        <v/>
      </c>
      <c r="E45" s="2" t="str">
        <f t="shared" si="8"/>
        <v xml:space="preserve"> </v>
      </c>
      <c r="F45" s="5" t="str">
        <f t="shared" si="9"/>
        <v/>
      </c>
      <c r="G45" s="5" t="str">
        <f t="shared" si="2"/>
        <v xml:space="preserve"> </v>
      </c>
    </row>
    <row r="46" spans="2:7" x14ac:dyDescent="0.25">
      <c r="B46" s="1">
        <f t="shared" si="3"/>
        <v>44856</v>
      </c>
      <c r="C46" s="2"/>
      <c r="D46" s="2" t="str">
        <f t="shared" si="7"/>
        <v/>
      </c>
      <c r="E46" s="2" t="str">
        <f t="shared" si="8"/>
        <v xml:space="preserve"> </v>
      </c>
      <c r="F46" s="5" t="str">
        <f t="shared" si="9"/>
        <v/>
      </c>
      <c r="G46" s="5" t="str">
        <f t="shared" si="2"/>
        <v xml:space="preserve"> </v>
      </c>
    </row>
    <row r="47" spans="2:7" x14ac:dyDescent="0.25">
      <c r="B47" s="1">
        <f t="shared" si="3"/>
        <v>44863</v>
      </c>
      <c r="C47" s="2"/>
      <c r="D47" s="2" t="str">
        <f t="shared" si="7"/>
        <v/>
      </c>
      <c r="E47" s="2" t="str">
        <f t="shared" si="8"/>
        <v xml:space="preserve"> </v>
      </c>
      <c r="F47" s="5" t="str">
        <f t="shared" si="9"/>
        <v/>
      </c>
      <c r="G47" s="5" t="str">
        <f t="shared" si="2"/>
        <v xml:space="preserve"> </v>
      </c>
    </row>
    <row r="48" spans="2:7" x14ac:dyDescent="0.25">
      <c r="B48" s="1">
        <f t="shared" si="3"/>
        <v>44870</v>
      </c>
      <c r="C48" s="2"/>
      <c r="D48" s="2" t="str">
        <f t="shared" si="7"/>
        <v/>
      </c>
      <c r="E48" s="2" t="str">
        <f t="shared" si="8"/>
        <v xml:space="preserve"> </v>
      </c>
      <c r="F48" s="5" t="str">
        <f t="shared" si="9"/>
        <v/>
      </c>
      <c r="G48" s="5" t="str">
        <f t="shared" si="2"/>
        <v xml:space="preserve"> </v>
      </c>
    </row>
    <row r="49" spans="2:7" x14ac:dyDescent="0.25">
      <c r="B49" s="1">
        <f t="shared" si="3"/>
        <v>44877</v>
      </c>
      <c r="C49" s="2"/>
      <c r="D49" s="2" t="str">
        <f t="shared" si="7"/>
        <v/>
      </c>
      <c r="E49" s="2" t="str">
        <f t="shared" si="8"/>
        <v xml:space="preserve"> </v>
      </c>
      <c r="F49" s="5" t="str">
        <f t="shared" si="9"/>
        <v/>
      </c>
      <c r="G49" s="5" t="str">
        <f t="shared" si="2"/>
        <v xml:space="preserve"> </v>
      </c>
    </row>
    <row r="50" spans="2:7" x14ac:dyDescent="0.25">
      <c r="B50" s="1">
        <f t="shared" si="3"/>
        <v>44884</v>
      </c>
      <c r="C50" s="2"/>
      <c r="D50" s="2" t="str">
        <f t="shared" si="7"/>
        <v/>
      </c>
      <c r="E50" s="2" t="str">
        <f t="shared" si="8"/>
        <v xml:space="preserve"> </v>
      </c>
      <c r="F50" s="5" t="str">
        <f t="shared" si="9"/>
        <v/>
      </c>
      <c r="G50" s="5" t="str">
        <f t="shared" si="2"/>
        <v xml:space="preserve"> </v>
      </c>
    </row>
    <row r="51" spans="2:7" x14ac:dyDescent="0.25">
      <c r="B51" s="1">
        <f t="shared" si="3"/>
        <v>44891</v>
      </c>
      <c r="C51" s="2"/>
      <c r="D51" s="2" t="str">
        <f t="shared" si="7"/>
        <v/>
      </c>
      <c r="E51" s="2" t="str">
        <f t="shared" si="8"/>
        <v xml:space="preserve"> </v>
      </c>
      <c r="F51" s="5" t="str">
        <f t="shared" si="9"/>
        <v/>
      </c>
      <c r="G51" s="5" t="str">
        <f t="shared" si="2"/>
        <v xml:space="preserve"> </v>
      </c>
    </row>
    <row r="52" spans="2:7" x14ac:dyDescent="0.25">
      <c r="B52" s="1">
        <f t="shared" si="3"/>
        <v>44898</v>
      </c>
      <c r="C52" s="2"/>
      <c r="D52" s="2" t="str">
        <f t="shared" si="7"/>
        <v/>
      </c>
      <c r="E52" s="2" t="str">
        <f t="shared" si="8"/>
        <v xml:space="preserve"> </v>
      </c>
      <c r="F52" s="5" t="str">
        <f t="shared" si="9"/>
        <v/>
      </c>
      <c r="G52" s="5" t="str">
        <f t="shared" si="2"/>
        <v xml:space="preserve"> </v>
      </c>
    </row>
    <row r="53" spans="2:7" x14ac:dyDescent="0.25">
      <c r="B53" s="1">
        <f t="shared" si="3"/>
        <v>44905</v>
      </c>
      <c r="C53" s="2"/>
      <c r="D53" s="2" t="str">
        <f t="shared" si="7"/>
        <v/>
      </c>
      <c r="E53" s="2" t="str">
        <f t="shared" si="8"/>
        <v xml:space="preserve"> </v>
      </c>
      <c r="F53" s="5" t="str">
        <f t="shared" si="9"/>
        <v/>
      </c>
      <c r="G53" s="5" t="str">
        <f t="shared" si="2"/>
        <v xml:space="preserve"> </v>
      </c>
    </row>
    <row r="54" spans="2:7" x14ac:dyDescent="0.25">
      <c r="B54" s="1">
        <f t="shared" si="3"/>
        <v>44912</v>
      </c>
      <c r="C54" s="2"/>
      <c r="D54" s="2" t="str">
        <f t="shared" si="7"/>
        <v/>
      </c>
      <c r="E54" s="2" t="str">
        <f t="shared" si="8"/>
        <v xml:space="preserve"> </v>
      </c>
      <c r="F54" s="5" t="str">
        <f t="shared" si="9"/>
        <v/>
      </c>
      <c r="G54" s="5" t="str">
        <f t="shared" si="2"/>
        <v xml:space="preserve"> </v>
      </c>
    </row>
    <row r="55" spans="2:7" x14ac:dyDescent="0.25">
      <c r="B55" s="1">
        <f t="shared" si="3"/>
        <v>44919</v>
      </c>
      <c r="C55" s="2"/>
      <c r="D55" s="2" t="str">
        <f t="shared" si="7"/>
        <v/>
      </c>
      <c r="E55" s="2" t="str">
        <f t="shared" si="8"/>
        <v xml:space="preserve"> </v>
      </c>
      <c r="F55" s="5" t="str">
        <f t="shared" si="9"/>
        <v/>
      </c>
      <c r="G55" s="5" t="str">
        <f t="shared" si="2"/>
        <v xml:space="preserve"> </v>
      </c>
    </row>
    <row r="56" spans="2:7" x14ac:dyDescent="0.25">
      <c r="B56" s="1">
        <f t="shared" si="3"/>
        <v>44926</v>
      </c>
      <c r="C56" s="2"/>
      <c r="D56" s="2" t="str">
        <f t="shared" si="7"/>
        <v/>
      </c>
      <c r="E56" s="2" t="str">
        <f t="shared" si="8"/>
        <v xml:space="preserve"> </v>
      </c>
      <c r="F56" s="5" t="str">
        <f t="shared" si="9"/>
        <v/>
      </c>
      <c r="G56" s="5" t="str">
        <f t="shared" si="2"/>
        <v xml:space="preserve"> </v>
      </c>
    </row>
    <row r="57" spans="2:7" x14ac:dyDescent="0.25">
      <c r="B57" s="1"/>
    </row>
    <row r="58" spans="2:7" x14ac:dyDescent="0.25">
      <c r="B58" s="1"/>
    </row>
    <row r="59" spans="2:7" x14ac:dyDescent="0.25">
      <c r="B59" s="1"/>
    </row>
    <row r="60" spans="2:7" x14ac:dyDescent="0.25">
      <c r="B60" s="1"/>
    </row>
    <row r="61" spans="2:7" x14ac:dyDescent="0.25">
      <c r="B61" s="1"/>
    </row>
    <row r="62" spans="2:7" x14ac:dyDescent="0.25">
      <c r="B62" s="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enu">
                <anchor moveWithCells="1" sizeWithCells="1">
                  <from>
                    <xdr:col>7</xdr:col>
                    <xdr:colOff>9525</xdr:colOff>
                    <xdr:row>2</xdr:row>
                    <xdr:rowOff>9525</xdr:rowOff>
                  </from>
                  <to>
                    <xdr:col>10</xdr:col>
                    <xdr:colOff>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/>
  <dimension ref="B2:G56"/>
  <sheetViews>
    <sheetView workbookViewId="0">
      <selection activeCell="J15" sqref="J14:J15"/>
    </sheetView>
  </sheetViews>
  <sheetFormatPr defaultRowHeight="15" x14ac:dyDescent="0.25"/>
  <cols>
    <col min="2" max="2" width="18.28515625" bestFit="1" customWidth="1"/>
    <col min="3" max="3" width="15.140625" customWidth="1"/>
    <col min="4" max="4" width="19.5703125" customWidth="1"/>
    <col min="5" max="5" width="25" customWidth="1"/>
    <col min="6" max="6" width="23.7109375" customWidth="1"/>
    <col min="7" max="7" width="22.85546875" customWidth="1"/>
  </cols>
  <sheetData>
    <row r="2" spans="2:7" x14ac:dyDescent="0.25">
      <c r="E2" t="s">
        <v>0</v>
      </c>
      <c r="F2" s="1">
        <v>44562</v>
      </c>
    </row>
    <row r="3" spans="2:7" ht="30.75" customHeight="1" x14ac:dyDescent="0.25">
      <c r="B3" s="6" t="s">
        <v>11</v>
      </c>
      <c r="C3" s="8" t="s">
        <v>6</v>
      </c>
      <c r="D3" s="7" t="s">
        <v>7</v>
      </c>
      <c r="E3" s="7" t="s">
        <v>8</v>
      </c>
      <c r="F3" s="9" t="s">
        <v>9</v>
      </c>
      <c r="G3" s="7" t="s">
        <v>10</v>
      </c>
    </row>
    <row r="4" spans="2:7" x14ac:dyDescent="0.25">
      <c r="B4" s="1">
        <f>F2</f>
        <v>44562</v>
      </c>
      <c r="C4" s="2">
        <f ca="1">RANDBETWEEN(1000,10000)</f>
        <v>1539</v>
      </c>
      <c r="D4" s="2">
        <v>0</v>
      </c>
      <c r="E4" s="2">
        <f>SUM($D$4:D4)</f>
        <v>0</v>
      </c>
      <c r="F4" s="5">
        <f>IF(D4="","",D4/7)</f>
        <v>0</v>
      </c>
      <c r="G4" s="5">
        <f>E4</f>
        <v>0</v>
      </c>
    </row>
    <row r="5" spans="2:7" x14ac:dyDescent="0.25">
      <c r="B5" s="1">
        <f>B4+7</f>
        <v>44569</v>
      </c>
      <c r="C5" s="2">
        <f ca="1">C4+RANDBETWEEN(20,130)</f>
        <v>1667</v>
      </c>
      <c r="D5" s="2">
        <f t="shared" ref="D5:D19" ca="1" si="0">IF(ISBLANK(C5),"",IF(C5-C4&lt;0,"niepoprawne dane",C5-C4))</f>
        <v>128</v>
      </c>
      <c r="E5" s="2">
        <f t="shared" ref="E5:E56" ca="1" si="1">IF(D5=""," ",E4+D5)</f>
        <v>128</v>
      </c>
      <c r="F5" s="5">
        <f ca="1">IF(D5="","",D5/7)</f>
        <v>18.285714285714285</v>
      </c>
      <c r="G5" s="5">
        <f t="shared" ref="G5:G56" ca="1" si="2">IF(D5=""," ",E5/(B5-$F$2))</f>
        <v>18.285714285714285</v>
      </c>
    </row>
    <row r="6" spans="2:7" x14ac:dyDescent="0.25">
      <c r="B6" s="1">
        <f t="shared" ref="B6:B56" si="3">B5+7</f>
        <v>44576</v>
      </c>
      <c r="C6" s="2">
        <f t="shared" ref="C6:C20" ca="1" si="4">C5+RANDBETWEEN(20,130)</f>
        <v>1700</v>
      </c>
      <c r="D6" s="2">
        <f t="shared" ca="1" si="0"/>
        <v>33</v>
      </c>
      <c r="E6" s="2">
        <f t="shared" ca="1" si="1"/>
        <v>161</v>
      </c>
      <c r="F6" s="5">
        <f t="shared" ref="F6:F20" ca="1" si="5">IF(D6="","",D6/7)</f>
        <v>4.7142857142857144</v>
      </c>
      <c r="G6" s="5">
        <f t="shared" ca="1" si="2"/>
        <v>11.5</v>
      </c>
    </row>
    <row r="7" spans="2:7" x14ac:dyDescent="0.25">
      <c r="B7" s="1">
        <f t="shared" si="3"/>
        <v>44583</v>
      </c>
      <c r="C7" s="2">
        <f t="shared" ca="1" si="4"/>
        <v>1790</v>
      </c>
      <c r="D7" s="2">
        <f t="shared" ca="1" si="0"/>
        <v>90</v>
      </c>
      <c r="E7" s="2">
        <f t="shared" ca="1" si="1"/>
        <v>251</v>
      </c>
      <c r="F7" s="5">
        <f t="shared" ca="1" si="5"/>
        <v>12.857142857142858</v>
      </c>
      <c r="G7" s="5">
        <f t="shared" ca="1" si="2"/>
        <v>11.952380952380953</v>
      </c>
    </row>
    <row r="8" spans="2:7" x14ac:dyDescent="0.25">
      <c r="B8" s="1">
        <f t="shared" si="3"/>
        <v>44590</v>
      </c>
      <c r="C8" s="2">
        <f t="shared" ca="1" si="4"/>
        <v>1918</v>
      </c>
      <c r="D8" s="2">
        <f t="shared" ca="1" si="0"/>
        <v>128</v>
      </c>
      <c r="E8" s="2">
        <f t="shared" ca="1" si="1"/>
        <v>379</v>
      </c>
      <c r="F8" s="5">
        <f t="shared" ca="1" si="5"/>
        <v>18.285714285714285</v>
      </c>
      <c r="G8" s="5">
        <f t="shared" ca="1" si="2"/>
        <v>13.535714285714286</v>
      </c>
    </row>
    <row r="9" spans="2:7" x14ac:dyDescent="0.25">
      <c r="B9" s="1">
        <f t="shared" si="3"/>
        <v>44597</v>
      </c>
      <c r="C9" s="2">
        <f t="shared" ca="1" si="4"/>
        <v>2005</v>
      </c>
      <c r="D9" s="2">
        <f t="shared" ca="1" si="0"/>
        <v>87</v>
      </c>
      <c r="E9" s="2">
        <f t="shared" ca="1" si="1"/>
        <v>466</v>
      </c>
      <c r="F9" s="5">
        <f t="shared" ca="1" si="5"/>
        <v>12.428571428571429</v>
      </c>
      <c r="G9" s="5">
        <f t="shared" ca="1" si="2"/>
        <v>13.314285714285715</v>
      </c>
    </row>
    <row r="10" spans="2:7" x14ac:dyDescent="0.25">
      <c r="B10" s="1">
        <f t="shared" si="3"/>
        <v>44604</v>
      </c>
      <c r="C10" s="2">
        <f t="shared" ca="1" si="4"/>
        <v>2095</v>
      </c>
      <c r="D10" s="2">
        <f t="shared" ca="1" si="0"/>
        <v>90</v>
      </c>
      <c r="E10" s="2">
        <f t="shared" ca="1" si="1"/>
        <v>556</v>
      </c>
      <c r="F10" s="5">
        <f t="shared" ca="1" si="5"/>
        <v>12.857142857142858</v>
      </c>
      <c r="G10" s="5">
        <f t="shared" ca="1" si="2"/>
        <v>13.238095238095237</v>
      </c>
    </row>
    <row r="11" spans="2:7" x14ac:dyDescent="0.25">
      <c r="B11" s="1">
        <f t="shared" si="3"/>
        <v>44611</v>
      </c>
      <c r="C11" s="2">
        <f t="shared" ca="1" si="4"/>
        <v>2142</v>
      </c>
      <c r="D11" s="2">
        <f t="shared" ca="1" si="0"/>
        <v>47</v>
      </c>
      <c r="E11" s="2">
        <f t="shared" ca="1" si="1"/>
        <v>603</v>
      </c>
      <c r="F11" s="5">
        <f t="shared" ca="1" si="5"/>
        <v>6.7142857142857144</v>
      </c>
      <c r="G11" s="5">
        <f t="shared" ca="1" si="2"/>
        <v>12.306122448979592</v>
      </c>
    </row>
    <row r="12" spans="2:7" x14ac:dyDescent="0.25">
      <c r="B12" s="1">
        <f t="shared" si="3"/>
        <v>44618</v>
      </c>
      <c r="C12" s="2">
        <f t="shared" ca="1" si="4"/>
        <v>2192</v>
      </c>
      <c r="D12" s="2">
        <f t="shared" ca="1" si="0"/>
        <v>50</v>
      </c>
      <c r="E12" s="2">
        <f t="shared" ca="1" si="1"/>
        <v>653</v>
      </c>
      <c r="F12" s="5">
        <f t="shared" ca="1" si="5"/>
        <v>7.1428571428571432</v>
      </c>
      <c r="G12" s="5">
        <f t="shared" ca="1" si="2"/>
        <v>11.660714285714286</v>
      </c>
    </row>
    <row r="13" spans="2:7" x14ac:dyDescent="0.25">
      <c r="B13" s="1">
        <f t="shared" si="3"/>
        <v>44625</v>
      </c>
      <c r="C13" s="2">
        <f t="shared" ca="1" si="4"/>
        <v>2315</v>
      </c>
      <c r="D13" s="2">
        <f t="shared" ca="1" si="0"/>
        <v>123</v>
      </c>
      <c r="E13" s="2">
        <f t="shared" ca="1" si="1"/>
        <v>776</v>
      </c>
      <c r="F13" s="5">
        <f t="shared" ca="1" si="5"/>
        <v>17.571428571428573</v>
      </c>
      <c r="G13" s="5">
        <f t="shared" ca="1" si="2"/>
        <v>12.317460317460318</v>
      </c>
    </row>
    <row r="14" spans="2:7" x14ac:dyDescent="0.25">
      <c r="B14" s="1">
        <f t="shared" si="3"/>
        <v>44632</v>
      </c>
      <c r="C14" s="2">
        <f t="shared" ca="1" si="4"/>
        <v>2427</v>
      </c>
      <c r="D14" s="2">
        <f t="shared" ca="1" si="0"/>
        <v>112</v>
      </c>
      <c r="E14" s="2">
        <f t="shared" ca="1" si="1"/>
        <v>888</v>
      </c>
      <c r="F14" s="5">
        <f t="shared" ca="1" si="5"/>
        <v>16</v>
      </c>
      <c r="G14" s="5">
        <f t="shared" ca="1" si="2"/>
        <v>12.685714285714285</v>
      </c>
    </row>
    <row r="15" spans="2:7" x14ac:dyDescent="0.25">
      <c r="B15" s="1">
        <f t="shared" si="3"/>
        <v>44639</v>
      </c>
      <c r="C15" s="2">
        <f t="shared" ca="1" si="4"/>
        <v>2466</v>
      </c>
      <c r="D15" s="2">
        <f t="shared" ca="1" si="0"/>
        <v>39</v>
      </c>
      <c r="E15" s="2">
        <f t="shared" ca="1" si="1"/>
        <v>927</v>
      </c>
      <c r="F15" s="5">
        <f t="shared" ca="1" si="5"/>
        <v>5.5714285714285712</v>
      </c>
      <c r="G15" s="5">
        <f t="shared" ca="1" si="2"/>
        <v>12.038961038961039</v>
      </c>
    </row>
    <row r="16" spans="2:7" x14ac:dyDescent="0.25">
      <c r="B16" s="1">
        <f t="shared" si="3"/>
        <v>44646</v>
      </c>
      <c r="C16" s="2">
        <f t="shared" ca="1" si="4"/>
        <v>2577</v>
      </c>
      <c r="D16" s="2">
        <f t="shared" ca="1" si="0"/>
        <v>111</v>
      </c>
      <c r="E16" s="2">
        <f t="shared" ca="1" si="1"/>
        <v>1038</v>
      </c>
      <c r="F16" s="5">
        <f t="shared" ca="1" si="5"/>
        <v>15.857142857142858</v>
      </c>
      <c r="G16" s="5">
        <f t="shared" ca="1" si="2"/>
        <v>12.357142857142858</v>
      </c>
    </row>
    <row r="17" spans="2:7" x14ac:dyDescent="0.25">
      <c r="B17" s="1">
        <f t="shared" si="3"/>
        <v>44653</v>
      </c>
      <c r="C17" s="2">
        <f t="shared" ca="1" si="4"/>
        <v>2619</v>
      </c>
      <c r="D17" s="2">
        <f t="shared" ca="1" si="0"/>
        <v>42</v>
      </c>
      <c r="E17" s="2">
        <f t="shared" ca="1" si="1"/>
        <v>1080</v>
      </c>
      <c r="F17" s="5">
        <f t="shared" ca="1" si="5"/>
        <v>6</v>
      </c>
      <c r="G17" s="5">
        <f t="shared" ca="1" si="2"/>
        <v>11.868131868131869</v>
      </c>
    </row>
    <row r="18" spans="2:7" x14ac:dyDescent="0.25">
      <c r="B18" s="1">
        <f t="shared" si="3"/>
        <v>44660</v>
      </c>
      <c r="C18" s="2">
        <f t="shared" ca="1" si="4"/>
        <v>2743</v>
      </c>
      <c r="D18" s="2">
        <f t="shared" ca="1" si="0"/>
        <v>124</v>
      </c>
      <c r="E18" s="2">
        <f t="shared" ca="1" si="1"/>
        <v>1204</v>
      </c>
      <c r="F18" s="5">
        <f t="shared" ca="1" si="5"/>
        <v>17.714285714285715</v>
      </c>
      <c r="G18" s="5">
        <f t="shared" ca="1" si="2"/>
        <v>12.285714285714286</v>
      </c>
    </row>
    <row r="19" spans="2:7" x14ac:dyDescent="0.25">
      <c r="B19" s="1">
        <f t="shared" si="3"/>
        <v>44667</v>
      </c>
      <c r="C19" s="2">
        <f t="shared" ca="1" si="4"/>
        <v>2806</v>
      </c>
      <c r="D19" s="2">
        <f t="shared" ca="1" si="0"/>
        <v>63</v>
      </c>
      <c r="E19" s="2">
        <f t="shared" ca="1" si="1"/>
        <v>1267</v>
      </c>
      <c r="F19" s="5">
        <f t="shared" ca="1" si="5"/>
        <v>9</v>
      </c>
      <c r="G19" s="5">
        <f t="shared" ca="1" si="2"/>
        <v>12.066666666666666</v>
      </c>
    </row>
    <row r="20" spans="2:7" x14ac:dyDescent="0.25">
      <c r="B20" s="1">
        <f t="shared" si="3"/>
        <v>44674</v>
      </c>
      <c r="C20" s="2">
        <f t="shared" ca="1" si="4"/>
        <v>2850</v>
      </c>
      <c r="D20" s="2">
        <f ca="1">IF(ISBLANK(C20),"",IF(C20-C19&lt;0,"niepoprawne dane",C20-C19))</f>
        <v>44</v>
      </c>
      <c r="E20" s="2">
        <f t="shared" ca="1" si="1"/>
        <v>1311</v>
      </c>
      <c r="F20" s="5">
        <f t="shared" ca="1" si="5"/>
        <v>6.2857142857142856</v>
      </c>
      <c r="G20" s="5">
        <f ca="1">IF(D20=""," ",E20/(B20-$F$2))</f>
        <v>11.705357142857142</v>
      </c>
    </row>
    <row r="21" spans="2:7" x14ac:dyDescent="0.25">
      <c r="B21" s="1">
        <f t="shared" si="3"/>
        <v>44681</v>
      </c>
      <c r="C21" s="2"/>
      <c r="D21" s="2" t="str">
        <f>IF(ISBLANK(C21),"",IF(C21-C20&lt;0,"niepoprawne dane",C21-C20))</f>
        <v/>
      </c>
      <c r="E21" s="2" t="str">
        <f t="shared" si="1"/>
        <v xml:space="preserve"> </v>
      </c>
      <c r="F21" s="5" t="str">
        <f>IF(D21="","",D21/7)</f>
        <v/>
      </c>
      <c r="G21" s="5" t="str">
        <f t="shared" si="2"/>
        <v xml:space="preserve"> </v>
      </c>
    </row>
    <row r="22" spans="2:7" x14ac:dyDescent="0.25">
      <c r="B22" s="1">
        <f t="shared" si="3"/>
        <v>44688</v>
      </c>
      <c r="C22" s="2"/>
      <c r="D22" s="2" t="str">
        <f t="shared" ref="D22:D56" si="6">IF(ISBLANK(C22),"",IF(C22-C21&lt;0,"niepoprawne dane",C22-C21))</f>
        <v/>
      </c>
      <c r="E22" s="2" t="str">
        <f t="shared" si="1"/>
        <v xml:space="preserve"> </v>
      </c>
      <c r="F22" s="5" t="str">
        <f t="shared" ref="F22:F56" si="7">IF(D22="","",D22/7)</f>
        <v/>
      </c>
      <c r="G22" s="5" t="str">
        <f t="shared" si="2"/>
        <v xml:space="preserve"> </v>
      </c>
    </row>
    <row r="23" spans="2:7" x14ac:dyDescent="0.25">
      <c r="B23" s="1">
        <f t="shared" si="3"/>
        <v>44695</v>
      </c>
      <c r="C23" s="2"/>
      <c r="D23" s="2" t="str">
        <f t="shared" si="6"/>
        <v/>
      </c>
      <c r="E23" s="2" t="str">
        <f t="shared" si="1"/>
        <v xml:space="preserve"> </v>
      </c>
      <c r="F23" s="5" t="str">
        <f t="shared" si="7"/>
        <v/>
      </c>
      <c r="G23" s="5" t="str">
        <f t="shared" si="2"/>
        <v xml:space="preserve"> </v>
      </c>
    </row>
    <row r="24" spans="2:7" x14ac:dyDescent="0.25">
      <c r="B24" s="1">
        <f t="shared" si="3"/>
        <v>44702</v>
      </c>
      <c r="C24" s="2"/>
      <c r="D24" s="2" t="str">
        <f t="shared" si="6"/>
        <v/>
      </c>
      <c r="E24" s="2" t="str">
        <f t="shared" si="1"/>
        <v xml:space="preserve"> </v>
      </c>
      <c r="F24" s="5" t="str">
        <f t="shared" si="7"/>
        <v/>
      </c>
      <c r="G24" s="5" t="str">
        <f t="shared" si="2"/>
        <v xml:space="preserve"> </v>
      </c>
    </row>
    <row r="25" spans="2:7" x14ac:dyDescent="0.25">
      <c r="B25" s="1">
        <f t="shared" si="3"/>
        <v>44709</v>
      </c>
      <c r="C25" s="2"/>
      <c r="D25" s="2" t="str">
        <f t="shared" si="6"/>
        <v/>
      </c>
      <c r="E25" s="2" t="str">
        <f t="shared" si="1"/>
        <v xml:space="preserve"> </v>
      </c>
      <c r="F25" s="5" t="str">
        <f t="shared" si="7"/>
        <v/>
      </c>
      <c r="G25" s="5" t="str">
        <f t="shared" si="2"/>
        <v xml:space="preserve"> </v>
      </c>
    </row>
    <row r="26" spans="2:7" x14ac:dyDescent="0.25">
      <c r="B26" s="1">
        <f t="shared" si="3"/>
        <v>44716</v>
      </c>
      <c r="C26" s="2"/>
      <c r="D26" s="2" t="str">
        <f t="shared" si="6"/>
        <v/>
      </c>
      <c r="E26" s="2" t="str">
        <f t="shared" si="1"/>
        <v xml:space="preserve"> </v>
      </c>
      <c r="F26" s="5" t="str">
        <f t="shared" si="7"/>
        <v/>
      </c>
      <c r="G26" s="5" t="str">
        <f t="shared" si="2"/>
        <v xml:space="preserve"> </v>
      </c>
    </row>
    <row r="27" spans="2:7" x14ac:dyDescent="0.25">
      <c r="B27" s="1">
        <f t="shared" si="3"/>
        <v>44723</v>
      </c>
      <c r="C27" s="2"/>
      <c r="D27" s="2" t="str">
        <f t="shared" si="6"/>
        <v/>
      </c>
      <c r="E27" s="2" t="str">
        <f t="shared" si="1"/>
        <v xml:space="preserve"> </v>
      </c>
      <c r="F27" s="5" t="str">
        <f t="shared" si="7"/>
        <v/>
      </c>
      <c r="G27" s="5" t="str">
        <f t="shared" si="2"/>
        <v xml:space="preserve"> </v>
      </c>
    </row>
    <row r="28" spans="2:7" x14ac:dyDescent="0.25">
      <c r="B28" s="1">
        <f t="shared" si="3"/>
        <v>44730</v>
      </c>
      <c r="C28" s="2"/>
      <c r="D28" s="2" t="str">
        <f t="shared" si="6"/>
        <v/>
      </c>
      <c r="E28" s="2" t="str">
        <f t="shared" si="1"/>
        <v xml:space="preserve"> </v>
      </c>
      <c r="F28" s="5" t="str">
        <f t="shared" si="7"/>
        <v/>
      </c>
      <c r="G28" s="5" t="str">
        <f t="shared" si="2"/>
        <v xml:space="preserve"> </v>
      </c>
    </row>
    <row r="29" spans="2:7" x14ac:dyDescent="0.25">
      <c r="B29" s="1">
        <f t="shared" si="3"/>
        <v>44737</v>
      </c>
      <c r="C29" s="2"/>
      <c r="D29" s="2" t="str">
        <f t="shared" si="6"/>
        <v/>
      </c>
      <c r="E29" s="2" t="str">
        <f t="shared" si="1"/>
        <v xml:space="preserve"> </v>
      </c>
      <c r="F29" s="5" t="str">
        <f t="shared" si="7"/>
        <v/>
      </c>
      <c r="G29" s="5" t="str">
        <f t="shared" si="2"/>
        <v xml:space="preserve"> </v>
      </c>
    </row>
    <row r="30" spans="2:7" x14ac:dyDescent="0.25">
      <c r="B30" s="1">
        <f t="shared" si="3"/>
        <v>44744</v>
      </c>
      <c r="C30" s="2"/>
      <c r="D30" s="2" t="str">
        <f t="shared" si="6"/>
        <v/>
      </c>
      <c r="E30" s="2" t="str">
        <f t="shared" si="1"/>
        <v xml:space="preserve"> </v>
      </c>
      <c r="F30" s="5" t="str">
        <f t="shared" si="7"/>
        <v/>
      </c>
      <c r="G30" s="5" t="str">
        <f t="shared" si="2"/>
        <v xml:space="preserve"> </v>
      </c>
    </row>
    <row r="31" spans="2:7" x14ac:dyDescent="0.25">
      <c r="B31" s="1">
        <f t="shared" si="3"/>
        <v>44751</v>
      </c>
      <c r="C31" s="2"/>
      <c r="D31" s="2" t="str">
        <f t="shared" si="6"/>
        <v/>
      </c>
      <c r="E31" s="2" t="str">
        <f t="shared" si="1"/>
        <v xml:space="preserve"> </v>
      </c>
      <c r="F31" s="5" t="str">
        <f t="shared" si="7"/>
        <v/>
      </c>
      <c r="G31" s="5" t="str">
        <f t="shared" si="2"/>
        <v xml:space="preserve"> </v>
      </c>
    </row>
    <row r="32" spans="2:7" x14ac:dyDescent="0.25">
      <c r="B32" s="1">
        <f t="shared" si="3"/>
        <v>44758</v>
      </c>
      <c r="C32" s="2"/>
      <c r="D32" s="2" t="str">
        <f t="shared" si="6"/>
        <v/>
      </c>
      <c r="E32" s="2" t="str">
        <f t="shared" si="1"/>
        <v xml:space="preserve"> </v>
      </c>
      <c r="F32" s="5" t="str">
        <f t="shared" si="7"/>
        <v/>
      </c>
      <c r="G32" s="5" t="str">
        <f t="shared" si="2"/>
        <v xml:space="preserve"> </v>
      </c>
    </row>
    <row r="33" spans="2:7" x14ac:dyDescent="0.25">
      <c r="B33" s="1">
        <f t="shared" si="3"/>
        <v>44765</v>
      </c>
      <c r="C33" s="2"/>
      <c r="D33" s="2" t="str">
        <f t="shared" si="6"/>
        <v/>
      </c>
      <c r="E33" s="2" t="str">
        <f t="shared" si="1"/>
        <v xml:space="preserve"> </v>
      </c>
      <c r="F33" s="5" t="str">
        <f t="shared" si="7"/>
        <v/>
      </c>
      <c r="G33" s="5" t="str">
        <f t="shared" si="2"/>
        <v xml:space="preserve"> </v>
      </c>
    </row>
    <row r="34" spans="2:7" x14ac:dyDescent="0.25">
      <c r="B34" s="1">
        <f t="shared" si="3"/>
        <v>44772</v>
      </c>
      <c r="C34" s="2"/>
      <c r="D34" s="2" t="str">
        <f t="shared" si="6"/>
        <v/>
      </c>
      <c r="E34" s="2" t="str">
        <f t="shared" si="1"/>
        <v xml:space="preserve"> </v>
      </c>
      <c r="F34" s="5" t="str">
        <f t="shared" si="7"/>
        <v/>
      </c>
      <c r="G34" s="5" t="str">
        <f t="shared" si="2"/>
        <v xml:space="preserve"> </v>
      </c>
    </row>
    <row r="35" spans="2:7" x14ac:dyDescent="0.25">
      <c r="B35" s="1">
        <f t="shared" si="3"/>
        <v>44779</v>
      </c>
      <c r="C35" s="2"/>
      <c r="D35" s="2" t="str">
        <f t="shared" si="6"/>
        <v/>
      </c>
      <c r="E35" s="2" t="str">
        <f t="shared" si="1"/>
        <v xml:space="preserve"> </v>
      </c>
      <c r="F35" s="5" t="str">
        <f t="shared" si="7"/>
        <v/>
      </c>
      <c r="G35" s="5" t="str">
        <f t="shared" si="2"/>
        <v xml:space="preserve"> </v>
      </c>
    </row>
    <row r="36" spans="2:7" x14ac:dyDescent="0.25">
      <c r="B36" s="1">
        <f t="shared" si="3"/>
        <v>44786</v>
      </c>
      <c r="C36" s="2"/>
      <c r="D36" s="2" t="str">
        <f t="shared" si="6"/>
        <v/>
      </c>
      <c r="E36" s="2" t="str">
        <f t="shared" si="1"/>
        <v xml:space="preserve"> </v>
      </c>
      <c r="F36" s="5" t="str">
        <f t="shared" si="7"/>
        <v/>
      </c>
      <c r="G36" s="5" t="str">
        <f t="shared" si="2"/>
        <v xml:space="preserve"> </v>
      </c>
    </row>
    <row r="37" spans="2:7" x14ac:dyDescent="0.25">
      <c r="B37" s="1">
        <f t="shared" si="3"/>
        <v>44793</v>
      </c>
      <c r="C37" s="2"/>
      <c r="D37" s="2" t="str">
        <f t="shared" si="6"/>
        <v/>
      </c>
      <c r="E37" s="2" t="str">
        <f t="shared" si="1"/>
        <v xml:space="preserve"> </v>
      </c>
      <c r="F37" s="5" t="str">
        <f t="shared" si="7"/>
        <v/>
      </c>
      <c r="G37" s="5" t="str">
        <f t="shared" si="2"/>
        <v xml:space="preserve"> </v>
      </c>
    </row>
    <row r="38" spans="2:7" x14ac:dyDescent="0.25">
      <c r="B38" s="1">
        <f t="shared" si="3"/>
        <v>44800</v>
      </c>
      <c r="C38" s="2"/>
      <c r="D38" s="2" t="str">
        <f t="shared" si="6"/>
        <v/>
      </c>
      <c r="E38" s="2" t="str">
        <f t="shared" si="1"/>
        <v xml:space="preserve"> </v>
      </c>
      <c r="F38" s="5" t="str">
        <f t="shared" si="7"/>
        <v/>
      </c>
      <c r="G38" s="5" t="str">
        <f t="shared" si="2"/>
        <v xml:space="preserve"> </v>
      </c>
    </row>
    <row r="39" spans="2:7" x14ac:dyDescent="0.25">
      <c r="B39" s="1">
        <f t="shared" si="3"/>
        <v>44807</v>
      </c>
      <c r="C39" s="2"/>
      <c r="D39" s="2" t="str">
        <f t="shared" si="6"/>
        <v/>
      </c>
      <c r="E39" s="2" t="str">
        <f t="shared" si="1"/>
        <v xml:space="preserve"> </v>
      </c>
      <c r="F39" s="5" t="str">
        <f t="shared" si="7"/>
        <v/>
      </c>
      <c r="G39" s="5" t="str">
        <f t="shared" si="2"/>
        <v xml:space="preserve"> </v>
      </c>
    </row>
    <row r="40" spans="2:7" x14ac:dyDescent="0.25">
      <c r="B40" s="1">
        <f t="shared" si="3"/>
        <v>44814</v>
      </c>
      <c r="C40" s="2"/>
      <c r="D40" s="2" t="str">
        <f t="shared" si="6"/>
        <v/>
      </c>
      <c r="E40" s="2" t="str">
        <f t="shared" si="1"/>
        <v xml:space="preserve"> </v>
      </c>
      <c r="F40" s="5" t="str">
        <f t="shared" si="7"/>
        <v/>
      </c>
      <c r="G40" s="5" t="str">
        <f t="shared" si="2"/>
        <v xml:space="preserve"> </v>
      </c>
    </row>
    <row r="41" spans="2:7" x14ac:dyDescent="0.25">
      <c r="B41" s="1">
        <f t="shared" si="3"/>
        <v>44821</v>
      </c>
      <c r="C41" s="2"/>
      <c r="D41" s="2" t="str">
        <f t="shared" si="6"/>
        <v/>
      </c>
      <c r="E41" s="2" t="str">
        <f t="shared" si="1"/>
        <v xml:space="preserve"> </v>
      </c>
      <c r="F41" s="5" t="str">
        <f t="shared" si="7"/>
        <v/>
      </c>
      <c r="G41" s="5" t="str">
        <f t="shared" si="2"/>
        <v xml:space="preserve"> </v>
      </c>
    </row>
    <row r="42" spans="2:7" x14ac:dyDescent="0.25">
      <c r="B42" s="1">
        <f t="shared" si="3"/>
        <v>44828</v>
      </c>
      <c r="C42" s="2"/>
      <c r="D42" s="2" t="str">
        <f t="shared" si="6"/>
        <v/>
      </c>
      <c r="E42" s="2" t="str">
        <f t="shared" si="1"/>
        <v xml:space="preserve"> </v>
      </c>
      <c r="F42" s="5" t="str">
        <f t="shared" si="7"/>
        <v/>
      </c>
      <c r="G42" s="5" t="str">
        <f t="shared" si="2"/>
        <v xml:space="preserve"> </v>
      </c>
    </row>
    <row r="43" spans="2:7" x14ac:dyDescent="0.25">
      <c r="B43" s="1">
        <f t="shared" si="3"/>
        <v>44835</v>
      </c>
      <c r="C43" s="2"/>
      <c r="D43" s="2" t="str">
        <f t="shared" si="6"/>
        <v/>
      </c>
      <c r="E43" s="2" t="str">
        <f t="shared" si="1"/>
        <v xml:space="preserve"> </v>
      </c>
      <c r="F43" s="5" t="str">
        <f t="shared" si="7"/>
        <v/>
      </c>
      <c r="G43" s="5" t="str">
        <f t="shared" si="2"/>
        <v xml:space="preserve"> </v>
      </c>
    </row>
    <row r="44" spans="2:7" x14ac:dyDescent="0.25">
      <c r="B44" s="1">
        <f t="shared" si="3"/>
        <v>44842</v>
      </c>
      <c r="C44" s="2"/>
      <c r="D44" s="2" t="str">
        <f t="shared" si="6"/>
        <v/>
      </c>
      <c r="E44" s="2" t="str">
        <f t="shared" si="1"/>
        <v xml:space="preserve"> </v>
      </c>
      <c r="F44" s="5" t="str">
        <f t="shared" si="7"/>
        <v/>
      </c>
      <c r="G44" s="5" t="str">
        <f t="shared" si="2"/>
        <v xml:space="preserve"> </v>
      </c>
    </row>
    <row r="45" spans="2:7" x14ac:dyDescent="0.25">
      <c r="B45" s="1">
        <f t="shared" si="3"/>
        <v>44849</v>
      </c>
      <c r="C45" s="2"/>
      <c r="D45" s="2" t="str">
        <f t="shared" si="6"/>
        <v/>
      </c>
      <c r="E45" s="2" t="str">
        <f t="shared" si="1"/>
        <v xml:space="preserve"> </v>
      </c>
      <c r="F45" s="5" t="str">
        <f t="shared" si="7"/>
        <v/>
      </c>
      <c r="G45" s="5" t="str">
        <f t="shared" si="2"/>
        <v xml:space="preserve"> </v>
      </c>
    </row>
    <row r="46" spans="2:7" x14ac:dyDescent="0.25">
      <c r="B46" s="1">
        <f t="shared" si="3"/>
        <v>44856</v>
      </c>
      <c r="C46" s="2"/>
      <c r="D46" s="2" t="str">
        <f t="shared" si="6"/>
        <v/>
      </c>
      <c r="E46" s="2" t="str">
        <f t="shared" si="1"/>
        <v xml:space="preserve"> </v>
      </c>
      <c r="F46" s="5" t="str">
        <f t="shared" si="7"/>
        <v/>
      </c>
      <c r="G46" s="5" t="str">
        <f t="shared" si="2"/>
        <v xml:space="preserve"> </v>
      </c>
    </row>
    <row r="47" spans="2:7" x14ac:dyDescent="0.25">
      <c r="B47" s="1">
        <f t="shared" si="3"/>
        <v>44863</v>
      </c>
      <c r="C47" s="2"/>
      <c r="D47" s="2" t="str">
        <f t="shared" si="6"/>
        <v/>
      </c>
      <c r="E47" s="2" t="str">
        <f t="shared" si="1"/>
        <v xml:space="preserve"> </v>
      </c>
      <c r="F47" s="5" t="str">
        <f t="shared" si="7"/>
        <v/>
      </c>
      <c r="G47" s="5" t="str">
        <f t="shared" si="2"/>
        <v xml:space="preserve"> </v>
      </c>
    </row>
    <row r="48" spans="2:7" x14ac:dyDescent="0.25">
      <c r="B48" s="1">
        <f t="shared" si="3"/>
        <v>44870</v>
      </c>
      <c r="C48" s="2"/>
      <c r="D48" s="2" t="str">
        <f t="shared" si="6"/>
        <v/>
      </c>
      <c r="E48" s="2" t="str">
        <f t="shared" si="1"/>
        <v xml:space="preserve"> </v>
      </c>
      <c r="F48" s="5" t="str">
        <f t="shared" si="7"/>
        <v/>
      </c>
      <c r="G48" s="5" t="str">
        <f t="shared" si="2"/>
        <v xml:space="preserve"> </v>
      </c>
    </row>
    <row r="49" spans="2:7" x14ac:dyDescent="0.25">
      <c r="B49" s="1">
        <f t="shared" si="3"/>
        <v>44877</v>
      </c>
      <c r="C49" s="2"/>
      <c r="D49" s="2" t="str">
        <f t="shared" si="6"/>
        <v/>
      </c>
      <c r="E49" s="2" t="str">
        <f t="shared" si="1"/>
        <v xml:space="preserve"> </v>
      </c>
      <c r="F49" s="5" t="str">
        <f t="shared" si="7"/>
        <v/>
      </c>
      <c r="G49" s="5" t="str">
        <f t="shared" si="2"/>
        <v xml:space="preserve"> </v>
      </c>
    </row>
    <row r="50" spans="2:7" x14ac:dyDescent="0.25">
      <c r="B50" s="1">
        <f t="shared" si="3"/>
        <v>44884</v>
      </c>
      <c r="C50" s="2"/>
      <c r="D50" s="2" t="str">
        <f t="shared" si="6"/>
        <v/>
      </c>
      <c r="E50" s="2" t="str">
        <f t="shared" si="1"/>
        <v xml:space="preserve"> </v>
      </c>
      <c r="F50" s="5" t="str">
        <f t="shared" si="7"/>
        <v/>
      </c>
      <c r="G50" s="5" t="str">
        <f t="shared" si="2"/>
        <v xml:space="preserve"> </v>
      </c>
    </row>
    <row r="51" spans="2:7" x14ac:dyDescent="0.25">
      <c r="B51" s="1">
        <f t="shared" si="3"/>
        <v>44891</v>
      </c>
      <c r="C51" s="2"/>
      <c r="D51" s="2" t="str">
        <f t="shared" si="6"/>
        <v/>
      </c>
      <c r="E51" s="2" t="str">
        <f t="shared" si="1"/>
        <v xml:space="preserve"> </v>
      </c>
      <c r="F51" s="5" t="str">
        <f t="shared" si="7"/>
        <v/>
      </c>
      <c r="G51" s="5" t="str">
        <f t="shared" si="2"/>
        <v xml:space="preserve"> </v>
      </c>
    </row>
    <row r="52" spans="2:7" x14ac:dyDescent="0.25">
      <c r="B52" s="1">
        <f t="shared" si="3"/>
        <v>44898</v>
      </c>
      <c r="C52" s="2"/>
      <c r="D52" s="2" t="str">
        <f t="shared" si="6"/>
        <v/>
      </c>
      <c r="E52" s="2" t="str">
        <f t="shared" si="1"/>
        <v xml:space="preserve"> </v>
      </c>
      <c r="F52" s="5" t="str">
        <f t="shared" si="7"/>
        <v/>
      </c>
      <c r="G52" s="5" t="str">
        <f t="shared" si="2"/>
        <v xml:space="preserve"> </v>
      </c>
    </row>
    <row r="53" spans="2:7" x14ac:dyDescent="0.25">
      <c r="B53" s="1">
        <f t="shared" si="3"/>
        <v>44905</v>
      </c>
      <c r="C53" s="2"/>
      <c r="D53" s="2" t="str">
        <f t="shared" si="6"/>
        <v/>
      </c>
      <c r="E53" s="2" t="str">
        <f t="shared" si="1"/>
        <v xml:space="preserve"> </v>
      </c>
      <c r="F53" s="5" t="str">
        <f t="shared" si="7"/>
        <v/>
      </c>
      <c r="G53" s="5" t="str">
        <f t="shared" si="2"/>
        <v xml:space="preserve"> </v>
      </c>
    </row>
    <row r="54" spans="2:7" x14ac:dyDescent="0.25">
      <c r="B54" s="1">
        <f t="shared" si="3"/>
        <v>44912</v>
      </c>
      <c r="C54" s="2"/>
      <c r="D54" s="2" t="str">
        <f t="shared" si="6"/>
        <v/>
      </c>
      <c r="E54" s="2" t="str">
        <f t="shared" si="1"/>
        <v xml:space="preserve"> </v>
      </c>
      <c r="F54" s="5" t="str">
        <f t="shared" si="7"/>
        <v/>
      </c>
      <c r="G54" s="5" t="str">
        <f t="shared" si="2"/>
        <v xml:space="preserve"> </v>
      </c>
    </row>
    <row r="55" spans="2:7" x14ac:dyDescent="0.25">
      <c r="B55" s="1">
        <f t="shared" si="3"/>
        <v>44919</v>
      </c>
      <c r="C55" s="2"/>
      <c r="D55" s="2" t="str">
        <f t="shared" si="6"/>
        <v/>
      </c>
      <c r="E55" s="2" t="str">
        <f t="shared" si="1"/>
        <v xml:space="preserve"> </v>
      </c>
      <c r="F55" s="5" t="str">
        <f t="shared" si="7"/>
        <v/>
      </c>
      <c r="G55" s="5" t="str">
        <f t="shared" si="2"/>
        <v xml:space="preserve"> </v>
      </c>
    </row>
    <row r="56" spans="2:7" x14ac:dyDescent="0.25">
      <c r="B56" s="1">
        <f t="shared" si="3"/>
        <v>44926</v>
      </c>
      <c r="C56" s="2"/>
      <c r="D56" s="2" t="str">
        <f t="shared" si="6"/>
        <v/>
      </c>
      <c r="E56" s="2" t="str">
        <f t="shared" si="1"/>
        <v xml:space="preserve"> </v>
      </c>
      <c r="F56" s="5" t="str">
        <f t="shared" si="7"/>
        <v/>
      </c>
      <c r="G56" s="5" t="str">
        <f t="shared" si="2"/>
        <v xml:space="preserve"> 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enu">
                <anchor moveWithCells="1" sizeWithCells="1">
                  <from>
                    <xdr:col>7</xdr:col>
                    <xdr:colOff>19050</xdr:colOff>
                    <xdr:row>2</xdr:row>
                    <xdr:rowOff>0</xdr:rowOff>
                  </from>
                  <to>
                    <xdr:col>10</xdr:col>
                    <xdr:colOff>9525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4"/>
  <dimension ref="A1"/>
  <sheetViews>
    <sheetView zoomScaleNormal="100" workbookViewId="0">
      <selection activeCell="R18" sqref="R18"/>
    </sheetView>
  </sheetViews>
  <sheetFormatPr defaultRowHeight="15" x14ac:dyDescent="0.25"/>
  <cols>
    <col min="16384" max="16384" width="9.5703125" customWidth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enu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18</xdr:col>
                    <xdr:colOff>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5"/>
  <dimension ref="A1"/>
  <sheetViews>
    <sheetView workbookViewId="0">
      <selection activeCell="P12" sqref="P12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enu">
                <anchor moveWithCells="1" sizeWithCells="1">
                  <from>
                    <xdr:col>15</xdr:col>
                    <xdr:colOff>38100</xdr:colOff>
                    <xdr:row>0</xdr:row>
                    <xdr:rowOff>19050</xdr:rowOff>
                  </from>
                  <to>
                    <xdr:col>18</xdr:col>
                    <xdr:colOff>28575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</vt:i4>
      </vt:variant>
    </vt:vector>
  </HeadingPairs>
  <TitlesOfParts>
    <vt:vector size="5" baseType="lpstr">
      <vt:lpstr>Menu</vt:lpstr>
      <vt:lpstr>Tabela Prąd</vt:lpstr>
      <vt:lpstr>Tabela Gaz</vt:lpstr>
      <vt:lpstr>Wykresy Prąd</vt:lpstr>
      <vt:lpstr>Wykresy Gaz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2022-10-24T19:59:50Z</dcterms:modified>
</cp:coreProperties>
</file>